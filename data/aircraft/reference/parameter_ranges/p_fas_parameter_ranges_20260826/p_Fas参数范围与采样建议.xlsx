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这里" sheetId="1" state="visible" r:id="rId1"/>
    <sheet xmlns:r="http://schemas.openxmlformats.org/officeDocument/2006/relationships" name="8参数建议" sheetId="2" state="visible" r:id="rId2"/>
    <sheet xmlns:r="http://schemas.openxmlformats.org/officeDocument/2006/relationships" name="分场景范围" sheetId="3" state="visible" r:id="rId3"/>
    <sheet xmlns:r="http://schemas.openxmlformats.org/officeDocument/2006/relationships" name="辅助参数" sheetId="4" state="visible" r:id="rId4"/>
    <sheet xmlns:r="http://schemas.openxmlformats.org/officeDocument/2006/relationships" name="联合采样规则" sheetId="5" state="visible" r:id="rId5"/>
    <sheet xmlns:r="http://schemas.openxmlformats.org/officeDocument/2006/relationships" name="标准边界" sheetId="6" state="visible" r:id="rId6"/>
    <sheet xmlns:r="http://schemas.openxmlformats.org/officeDocument/2006/relationships" name="证据点_宽表" sheetId="7" state="visible" r:id="rId7"/>
    <sheet xmlns:r="http://schemas.openxmlformats.org/officeDocument/2006/relationships" name="证据事实_长表" sheetId="8" state="visible" r:id="rId8"/>
    <sheet xmlns:r="http://schemas.openxmlformats.org/officeDocument/2006/relationships" name="当前项目对照" sheetId="9" state="visible" r:id="rId9"/>
    <sheet xmlns:r="http://schemas.openxmlformats.org/officeDocument/2006/relationships" name="单位换算" sheetId="10" state="visible" r:id="rId10"/>
    <sheet xmlns:r="http://schemas.openxmlformats.org/officeDocument/2006/relationships" name="来源与证据" sheetId="11" state="visible" r:id="rId11"/>
  </sheets>
  <definedNames>
    <definedName name="_xlnm._FilterDatabase" localSheetId="1" hidden="1">'8参数建议'!$A$1:$Q$9</definedName>
    <definedName name="_xlnm._FilterDatabase" localSheetId="2" hidden="1">'分场景范围'!$A$1:$O$7</definedName>
    <definedName name="_xlnm._FilterDatabase" localSheetId="3" hidden="1">'辅助参数'!$A$1:$I$6</definedName>
    <definedName name="_xlnm._FilterDatabase" localSheetId="4" hidden="1">'联合采样规则'!$A$1:$G$15</definedName>
    <definedName name="_xlnm._FilterDatabase" localSheetId="5" hidden="1">'标准边界'!$A$1:$J$71</definedName>
    <definedName name="_xlnm._FilterDatabase" localSheetId="6" hidden="1">'证据点_宽表'!$A$1:$W$18</definedName>
    <definedName name="_xlnm._FilterDatabase" localSheetId="7" hidden="1">'证据事实_长表'!$A$1:$K$17</definedName>
    <definedName name="_xlnm._FilterDatabase" localSheetId="8" hidden="1">'当前项目对照'!$A$1:$E$9</definedName>
    <definedName name="_xlnm._FilterDatabase" localSheetId="9" hidden="1">'单位换算'!$A$1:$E$9</definedName>
    <definedName name="_xlnm._FilterDatabase" localSheetId="10" hidden="1">'来源与证据'!$A$1:$L$16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0252B"/>
    </font>
    <font>
      <b val="1"/>
      <color rgb="00FFFFFF"/>
      <sz val="13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0020252B"/>
      </patternFill>
    </fill>
    <fill>
      <patternFill patternType="solid">
        <fgColor rgb="00D7ECEA"/>
      </patternFill>
    </fill>
    <fill>
      <patternFill patternType="solid">
        <fgColor rgb="00FFFFFF"/>
      </patternFill>
    </fill>
    <fill>
      <patternFill patternType="solid">
        <fgColor rgb="00EEF0F2"/>
      </patternFill>
    </fill>
    <fill>
      <patternFill patternType="solid">
        <fgColor rgb="003A6670"/>
      </patternFill>
    </fill>
    <fill>
      <patternFill patternType="solid">
        <fgColor rgb="00DDEBF7"/>
      </patternFill>
    </fill>
    <fill>
      <patternFill patternType="solid">
        <fgColor rgb="00DDEFD8"/>
      </patternFill>
    </fill>
    <fill>
      <patternFill patternType="solid">
        <fgColor rgb="00FFF0C7"/>
      </patternFill>
    </fill>
    <fill>
      <patternFill patternType="solid">
        <fgColor rgb="00F8D7DA"/>
      </patternFill>
    </fill>
    <fill>
      <patternFill patternType="solid">
        <fgColor rgb="0029434E"/>
      </patternFill>
    </fill>
  </fills>
  <borders count="3">
    <border>
      <left/>
      <right/>
      <top/>
      <bottom/>
      <diagonal/>
    </border>
    <border>
      <bottom style="thin">
        <color rgb="00CBD2D6"/>
      </bottom>
    </border>
    <border>
      <bottom style="hair">
        <color rgb="00CBD2D6"/>
      </bottom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6469;&#28304;&#19982;&#35777;&#25454;'!A5" TargetMode="External" Id="rId1"/><Relationship Type="http://schemas.openxmlformats.org/officeDocument/2006/relationships/hyperlink" Target="#'&#26469;&#28304;&#19982;&#35777;&#25454;'!A2" TargetMode="External" Id="rId2"/><Relationship Type="http://schemas.openxmlformats.org/officeDocument/2006/relationships/hyperlink" Target="#'&#26469;&#28304;&#19982;&#35777;&#25454;'!A3" TargetMode="External" Id="rId3"/><Relationship Type="http://schemas.openxmlformats.org/officeDocument/2006/relationships/hyperlink" Target="#'&#26469;&#28304;&#19982;&#35777;&#25454;'!A2" TargetMode="External" Id="rId4"/><Relationship Type="http://schemas.openxmlformats.org/officeDocument/2006/relationships/hyperlink" Target="#'&#26469;&#28304;&#19982;&#35777;&#25454;'!A2" TargetMode="External" Id="rId5"/><Relationship Type="http://schemas.openxmlformats.org/officeDocument/2006/relationships/hyperlink" Target="#'&#26469;&#28304;&#19982;&#35777;&#25454;'!A2" TargetMode="External" Id="rId6"/><Relationship Type="http://schemas.openxmlformats.org/officeDocument/2006/relationships/hyperlink" Target="#'&#26469;&#28304;&#19982;&#35777;&#25454;'!A2" TargetMode="External" Id="rId7"/><Relationship Type="http://schemas.openxmlformats.org/officeDocument/2006/relationships/hyperlink" Target="#'&#26469;&#28304;&#19982;&#35777;&#25454;'!A8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#'&#26469;&#28304;&#19982;&#35777;&#25454;'!A5" TargetMode="External" Id="rId1"/><Relationship Type="http://schemas.openxmlformats.org/officeDocument/2006/relationships/hyperlink" Target="#'&#26469;&#28304;&#19982;&#35777;&#25454;'!A7" TargetMode="External" Id="rId2"/><Relationship Type="http://schemas.openxmlformats.org/officeDocument/2006/relationships/hyperlink" Target="#'&#26469;&#28304;&#19982;&#35777;&#25454;'!A8" TargetMode="External" Id="rId3"/><Relationship Type="http://schemas.openxmlformats.org/officeDocument/2006/relationships/hyperlink" Target="#'&#26469;&#28304;&#19982;&#35777;&#25454;'!A11" TargetMode="External" Id="rId4"/><Relationship Type="http://schemas.openxmlformats.org/officeDocument/2006/relationships/hyperlink" Target="#'&#26469;&#28304;&#19982;&#35777;&#25454;'!A12" TargetMode="External" Id="rId5"/><Relationship Type="http://schemas.openxmlformats.org/officeDocument/2006/relationships/hyperlink" Target="#'&#26469;&#28304;&#19982;&#35777;&#25454;'!A2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&#26469;&#28304;&#19982;&#35777;&#25454;'!A3" TargetMode="External" Id="rId1"/><Relationship Type="http://schemas.openxmlformats.org/officeDocument/2006/relationships/hyperlink" Target="#'&#26469;&#28304;&#19982;&#35777;&#25454;'!A5" TargetMode="External" Id="rId2"/><Relationship Type="http://schemas.openxmlformats.org/officeDocument/2006/relationships/hyperlink" Target="#'&#26469;&#28304;&#19982;&#35777;&#25454;'!A14" TargetMode="External" Id="rId3"/><Relationship Type="http://schemas.openxmlformats.org/officeDocument/2006/relationships/hyperlink" Target="#'&#26469;&#28304;&#19982;&#35777;&#25454;'!A2" TargetMode="External" Id="rId4"/><Relationship Type="http://schemas.openxmlformats.org/officeDocument/2006/relationships/hyperlink" Target="#'&#26469;&#28304;&#19982;&#35777;&#25454;'!A2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#'&#26469;&#28304;&#19982;&#35777;&#25454;'!A2" TargetMode="External" Id="rId1"/><Relationship Type="http://schemas.openxmlformats.org/officeDocument/2006/relationships/hyperlink" Target="#'&#26469;&#28304;&#19982;&#35777;&#25454;'!A2" TargetMode="External" Id="rId2"/><Relationship Type="http://schemas.openxmlformats.org/officeDocument/2006/relationships/hyperlink" Target="#'&#26469;&#28304;&#19982;&#35777;&#25454;'!A5" TargetMode="External" Id="rId3"/><Relationship Type="http://schemas.openxmlformats.org/officeDocument/2006/relationships/hyperlink" Target="#'&#26469;&#28304;&#19982;&#35777;&#25454;'!A2" TargetMode="External" Id="rId4"/><Relationship Type="http://schemas.openxmlformats.org/officeDocument/2006/relationships/hyperlink" Target="#'&#26469;&#28304;&#19982;&#35777;&#25454;'!A2" TargetMode="External" Id="rId5"/><Relationship Type="http://schemas.openxmlformats.org/officeDocument/2006/relationships/hyperlink" Target="#'&#26469;&#28304;&#19982;&#35777;&#25454;'!A8" TargetMode="External" Id="rId6"/><Relationship Type="http://schemas.openxmlformats.org/officeDocument/2006/relationships/hyperlink" Target="#'&#26469;&#28304;&#19982;&#35777;&#25454;'!A8" TargetMode="External" Id="rId7"/><Relationship Type="http://schemas.openxmlformats.org/officeDocument/2006/relationships/hyperlink" Target="#'&#26469;&#28304;&#19982;&#35777;&#25454;'!A2" TargetMode="External" Id="rId8"/><Relationship Type="http://schemas.openxmlformats.org/officeDocument/2006/relationships/hyperlink" Target="#'&#26469;&#28304;&#19982;&#35777;&#25454;'!A5" TargetMode="External" Id="rId9"/><Relationship Type="http://schemas.openxmlformats.org/officeDocument/2006/relationships/hyperlink" Target="#'&#26469;&#28304;&#19982;&#35777;&#25454;'!A5" TargetMode="External" Id="rId10"/><Relationship Type="http://schemas.openxmlformats.org/officeDocument/2006/relationships/hyperlink" Target="#'&#26469;&#28304;&#19982;&#35777;&#25454;'!A3" TargetMode="External" Id="rId11"/><Relationship Type="http://schemas.openxmlformats.org/officeDocument/2006/relationships/hyperlink" Target="#'&#26469;&#28304;&#19982;&#35777;&#25454;'!A3" TargetMode="External" Id="rId12"/><Relationship Type="http://schemas.openxmlformats.org/officeDocument/2006/relationships/hyperlink" Target="#'&#26469;&#28304;&#19982;&#35777;&#25454;'!A2" TargetMode="External" Id="rId13"/><Relationship Type="http://schemas.openxmlformats.org/officeDocument/2006/relationships/hyperlink" Target="#'&#26469;&#28304;&#19982;&#35777;&#25454;'!A5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#'&#26469;&#28304;&#19982;&#35777;&#25454;'!A2" TargetMode="External" Id="rId1"/><Relationship Type="http://schemas.openxmlformats.org/officeDocument/2006/relationships/hyperlink" Target="#'&#26469;&#28304;&#19982;&#35777;&#25454;'!A2" TargetMode="External" Id="rId2"/><Relationship Type="http://schemas.openxmlformats.org/officeDocument/2006/relationships/hyperlink" Target="#'&#26469;&#28304;&#19982;&#35777;&#25454;'!A2" TargetMode="External" Id="rId3"/><Relationship Type="http://schemas.openxmlformats.org/officeDocument/2006/relationships/hyperlink" Target="#'&#26469;&#28304;&#19982;&#35777;&#25454;'!A2" TargetMode="External" Id="rId4"/><Relationship Type="http://schemas.openxmlformats.org/officeDocument/2006/relationships/hyperlink" Target="#'&#26469;&#28304;&#19982;&#35777;&#25454;'!A2" TargetMode="External" Id="rId5"/><Relationship Type="http://schemas.openxmlformats.org/officeDocument/2006/relationships/hyperlink" Target="#'&#26469;&#28304;&#19982;&#35777;&#25454;'!A2" TargetMode="External" Id="rId6"/><Relationship Type="http://schemas.openxmlformats.org/officeDocument/2006/relationships/hyperlink" Target="#'&#26469;&#28304;&#19982;&#35777;&#25454;'!A2" TargetMode="External" Id="rId7"/><Relationship Type="http://schemas.openxmlformats.org/officeDocument/2006/relationships/hyperlink" Target="#'&#26469;&#28304;&#19982;&#35777;&#25454;'!A2" TargetMode="External" Id="rId8"/><Relationship Type="http://schemas.openxmlformats.org/officeDocument/2006/relationships/hyperlink" Target="#'&#26469;&#28304;&#19982;&#35777;&#25454;'!A2" TargetMode="External" Id="rId9"/><Relationship Type="http://schemas.openxmlformats.org/officeDocument/2006/relationships/hyperlink" Target="#'&#26469;&#28304;&#19982;&#35777;&#25454;'!A2" TargetMode="External" Id="rId10"/><Relationship Type="http://schemas.openxmlformats.org/officeDocument/2006/relationships/hyperlink" Target="#'&#26469;&#28304;&#19982;&#35777;&#25454;'!A2" TargetMode="External" Id="rId11"/><Relationship Type="http://schemas.openxmlformats.org/officeDocument/2006/relationships/hyperlink" Target="#'&#26469;&#28304;&#19982;&#35777;&#25454;'!A2" TargetMode="External" Id="rId12"/><Relationship Type="http://schemas.openxmlformats.org/officeDocument/2006/relationships/hyperlink" Target="#'&#26469;&#28304;&#19982;&#35777;&#25454;'!A2" TargetMode="External" Id="rId13"/><Relationship Type="http://schemas.openxmlformats.org/officeDocument/2006/relationships/hyperlink" Target="#'&#26469;&#28304;&#19982;&#35777;&#25454;'!A2" TargetMode="External" Id="rId14"/><Relationship Type="http://schemas.openxmlformats.org/officeDocument/2006/relationships/hyperlink" Target="#'&#26469;&#28304;&#19982;&#35777;&#25454;'!A2" TargetMode="External" Id="rId15"/><Relationship Type="http://schemas.openxmlformats.org/officeDocument/2006/relationships/hyperlink" Target="#'&#26469;&#28304;&#19982;&#35777;&#25454;'!A2" TargetMode="External" Id="rId16"/><Relationship Type="http://schemas.openxmlformats.org/officeDocument/2006/relationships/hyperlink" Target="#'&#26469;&#28304;&#19982;&#35777;&#25454;'!A2" TargetMode="External" Id="rId17"/><Relationship Type="http://schemas.openxmlformats.org/officeDocument/2006/relationships/hyperlink" Target="#'&#26469;&#28304;&#19982;&#35777;&#25454;'!A2" TargetMode="External" Id="rId18"/><Relationship Type="http://schemas.openxmlformats.org/officeDocument/2006/relationships/hyperlink" Target="#'&#26469;&#28304;&#19982;&#35777;&#25454;'!A2" TargetMode="External" Id="rId19"/><Relationship Type="http://schemas.openxmlformats.org/officeDocument/2006/relationships/hyperlink" Target="#'&#26469;&#28304;&#19982;&#35777;&#25454;'!A2" TargetMode="External" Id="rId20"/><Relationship Type="http://schemas.openxmlformats.org/officeDocument/2006/relationships/hyperlink" Target="#'&#26469;&#28304;&#19982;&#35777;&#25454;'!A2" TargetMode="External" Id="rId21"/><Relationship Type="http://schemas.openxmlformats.org/officeDocument/2006/relationships/hyperlink" Target="#'&#26469;&#28304;&#19982;&#35777;&#25454;'!A2" TargetMode="External" Id="rId22"/><Relationship Type="http://schemas.openxmlformats.org/officeDocument/2006/relationships/hyperlink" Target="#'&#26469;&#28304;&#19982;&#35777;&#25454;'!A2" TargetMode="External" Id="rId23"/><Relationship Type="http://schemas.openxmlformats.org/officeDocument/2006/relationships/hyperlink" Target="#'&#26469;&#28304;&#19982;&#35777;&#25454;'!A2" TargetMode="External" Id="rId24"/><Relationship Type="http://schemas.openxmlformats.org/officeDocument/2006/relationships/hyperlink" Target="#'&#26469;&#28304;&#19982;&#35777;&#25454;'!A2" TargetMode="External" Id="rId25"/><Relationship Type="http://schemas.openxmlformats.org/officeDocument/2006/relationships/hyperlink" Target="#'&#26469;&#28304;&#19982;&#35777;&#25454;'!A2" TargetMode="External" Id="rId26"/><Relationship Type="http://schemas.openxmlformats.org/officeDocument/2006/relationships/hyperlink" Target="#'&#26469;&#28304;&#19982;&#35777;&#25454;'!A2" TargetMode="External" Id="rId27"/><Relationship Type="http://schemas.openxmlformats.org/officeDocument/2006/relationships/hyperlink" Target="#'&#26469;&#28304;&#19982;&#35777;&#25454;'!A2" TargetMode="External" Id="rId28"/><Relationship Type="http://schemas.openxmlformats.org/officeDocument/2006/relationships/hyperlink" Target="#'&#26469;&#28304;&#19982;&#35777;&#25454;'!A2" TargetMode="External" Id="rId29"/><Relationship Type="http://schemas.openxmlformats.org/officeDocument/2006/relationships/hyperlink" Target="#'&#26469;&#28304;&#19982;&#35777;&#25454;'!A2" TargetMode="External" Id="rId30"/><Relationship Type="http://schemas.openxmlformats.org/officeDocument/2006/relationships/hyperlink" Target="#'&#26469;&#28304;&#19982;&#35777;&#25454;'!A2" TargetMode="External" Id="rId31"/><Relationship Type="http://schemas.openxmlformats.org/officeDocument/2006/relationships/hyperlink" Target="#'&#26469;&#28304;&#19982;&#35777;&#25454;'!A2" TargetMode="External" Id="rId32"/><Relationship Type="http://schemas.openxmlformats.org/officeDocument/2006/relationships/hyperlink" Target="#'&#26469;&#28304;&#19982;&#35777;&#25454;'!A2" TargetMode="External" Id="rId33"/><Relationship Type="http://schemas.openxmlformats.org/officeDocument/2006/relationships/hyperlink" Target="#'&#26469;&#28304;&#19982;&#35777;&#25454;'!A2" TargetMode="External" Id="rId34"/><Relationship Type="http://schemas.openxmlformats.org/officeDocument/2006/relationships/hyperlink" Target="#'&#26469;&#28304;&#19982;&#35777;&#25454;'!A2" TargetMode="External" Id="rId35"/><Relationship Type="http://schemas.openxmlformats.org/officeDocument/2006/relationships/hyperlink" Target="#'&#26469;&#28304;&#19982;&#35777;&#25454;'!A2" TargetMode="External" Id="rId36"/><Relationship Type="http://schemas.openxmlformats.org/officeDocument/2006/relationships/hyperlink" Target="#'&#26469;&#28304;&#19982;&#35777;&#25454;'!A2" TargetMode="External" Id="rId37"/><Relationship Type="http://schemas.openxmlformats.org/officeDocument/2006/relationships/hyperlink" Target="#'&#26469;&#28304;&#19982;&#35777;&#25454;'!A2" TargetMode="External" Id="rId38"/><Relationship Type="http://schemas.openxmlformats.org/officeDocument/2006/relationships/hyperlink" Target="#'&#26469;&#28304;&#19982;&#35777;&#25454;'!A2" TargetMode="External" Id="rId39"/><Relationship Type="http://schemas.openxmlformats.org/officeDocument/2006/relationships/hyperlink" Target="#'&#26469;&#28304;&#19982;&#35777;&#25454;'!A2" TargetMode="External" Id="rId40"/><Relationship Type="http://schemas.openxmlformats.org/officeDocument/2006/relationships/hyperlink" Target="#'&#26469;&#28304;&#19982;&#35777;&#25454;'!A2" TargetMode="External" Id="rId41"/><Relationship Type="http://schemas.openxmlformats.org/officeDocument/2006/relationships/hyperlink" Target="#'&#26469;&#28304;&#19982;&#35777;&#25454;'!A2" TargetMode="External" Id="rId42"/><Relationship Type="http://schemas.openxmlformats.org/officeDocument/2006/relationships/hyperlink" Target="#'&#26469;&#28304;&#19982;&#35777;&#25454;'!A2" TargetMode="External" Id="rId43"/><Relationship Type="http://schemas.openxmlformats.org/officeDocument/2006/relationships/hyperlink" Target="#'&#26469;&#28304;&#19982;&#35777;&#25454;'!A2" TargetMode="External" Id="rId44"/><Relationship Type="http://schemas.openxmlformats.org/officeDocument/2006/relationships/hyperlink" Target="#'&#26469;&#28304;&#19982;&#35777;&#25454;'!A2" TargetMode="External" Id="rId45"/><Relationship Type="http://schemas.openxmlformats.org/officeDocument/2006/relationships/hyperlink" Target="#'&#26469;&#28304;&#19982;&#35777;&#25454;'!A3" TargetMode="External" Id="rId46"/><Relationship Type="http://schemas.openxmlformats.org/officeDocument/2006/relationships/hyperlink" Target="#'&#26469;&#28304;&#19982;&#35777;&#25454;'!A3" TargetMode="External" Id="rId47"/><Relationship Type="http://schemas.openxmlformats.org/officeDocument/2006/relationships/hyperlink" Target="#'&#26469;&#28304;&#19982;&#35777;&#25454;'!A3" TargetMode="External" Id="rId48"/><Relationship Type="http://schemas.openxmlformats.org/officeDocument/2006/relationships/hyperlink" Target="#'&#26469;&#28304;&#19982;&#35777;&#25454;'!A3" TargetMode="External" Id="rId49"/><Relationship Type="http://schemas.openxmlformats.org/officeDocument/2006/relationships/hyperlink" Target="#'&#26469;&#28304;&#19982;&#35777;&#25454;'!A3" TargetMode="External" Id="rId50"/><Relationship Type="http://schemas.openxmlformats.org/officeDocument/2006/relationships/hyperlink" Target="#'&#26469;&#28304;&#19982;&#35777;&#25454;'!A3" TargetMode="External" Id="rId51"/><Relationship Type="http://schemas.openxmlformats.org/officeDocument/2006/relationships/hyperlink" Target="#'&#26469;&#28304;&#19982;&#35777;&#25454;'!A3" TargetMode="External" Id="rId52"/><Relationship Type="http://schemas.openxmlformats.org/officeDocument/2006/relationships/hyperlink" Target="#'&#26469;&#28304;&#19982;&#35777;&#25454;'!A3" TargetMode="External" Id="rId53"/><Relationship Type="http://schemas.openxmlformats.org/officeDocument/2006/relationships/hyperlink" Target="#'&#26469;&#28304;&#19982;&#35777;&#25454;'!A3" TargetMode="External" Id="rId54"/><Relationship Type="http://schemas.openxmlformats.org/officeDocument/2006/relationships/hyperlink" Target="#'&#26469;&#28304;&#19982;&#35777;&#25454;'!A3" TargetMode="External" Id="rId55"/><Relationship Type="http://schemas.openxmlformats.org/officeDocument/2006/relationships/hyperlink" Target="#'&#26469;&#28304;&#19982;&#35777;&#25454;'!A3" TargetMode="External" Id="rId56"/><Relationship Type="http://schemas.openxmlformats.org/officeDocument/2006/relationships/hyperlink" Target="#'&#26469;&#28304;&#19982;&#35777;&#25454;'!A3" TargetMode="External" Id="rId57"/><Relationship Type="http://schemas.openxmlformats.org/officeDocument/2006/relationships/hyperlink" Target="#'&#26469;&#28304;&#19982;&#35777;&#25454;'!A3" TargetMode="External" Id="rId58"/><Relationship Type="http://schemas.openxmlformats.org/officeDocument/2006/relationships/hyperlink" Target="#'&#26469;&#28304;&#19982;&#35777;&#25454;'!A3" TargetMode="External" Id="rId59"/><Relationship Type="http://schemas.openxmlformats.org/officeDocument/2006/relationships/hyperlink" Target="#'&#26469;&#28304;&#19982;&#35777;&#25454;'!A3" TargetMode="External" Id="rId60"/><Relationship Type="http://schemas.openxmlformats.org/officeDocument/2006/relationships/hyperlink" Target="#'&#26469;&#28304;&#19982;&#35777;&#25454;'!A3" TargetMode="External" Id="rId61"/><Relationship Type="http://schemas.openxmlformats.org/officeDocument/2006/relationships/hyperlink" Target="#'&#26469;&#28304;&#19982;&#35777;&#25454;'!A3" TargetMode="External" Id="rId62"/><Relationship Type="http://schemas.openxmlformats.org/officeDocument/2006/relationships/hyperlink" Target="#'&#26469;&#28304;&#19982;&#35777;&#25454;'!A3" TargetMode="External" Id="rId63"/><Relationship Type="http://schemas.openxmlformats.org/officeDocument/2006/relationships/hyperlink" Target="#'&#26469;&#28304;&#19982;&#35777;&#25454;'!A3" TargetMode="External" Id="rId64"/><Relationship Type="http://schemas.openxmlformats.org/officeDocument/2006/relationships/hyperlink" Target="#'&#26469;&#28304;&#19982;&#35777;&#25454;'!A3" TargetMode="External" Id="rId65"/><Relationship Type="http://schemas.openxmlformats.org/officeDocument/2006/relationships/hyperlink" Target="#'&#26469;&#28304;&#19982;&#35777;&#25454;'!A3" TargetMode="External" Id="rId66"/><Relationship Type="http://schemas.openxmlformats.org/officeDocument/2006/relationships/hyperlink" Target="#'&#26469;&#28304;&#19982;&#35777;&#25454;'!A3" TargetMode="External" Id="rId67"/><Relationship Type="http://schemas.openxmlformats.org/officeDocument/2006/relationships/hyperlink" Target="#'&#26469;&#28304;&#19982;&#35777;&#25454;'!A3" TargetMode="External" Id="rId68"/><Relationship Type="http://schemas.openxmlformats.org/officeDocument/2006/relationships/hyperlink" Target="#'&#26469;&#28304;&#19982;&#35777;&#25454;'!A3" TargetMode="External" Id="rId69"/><Relationship Type="http://schemas.openxmlformats.org/officeDocument/2006/relationships/hyperlink" Target="#'&#26469;&#28304;&#19982;&#35777;&#25454;'!A3" TargetMode="External" Id="rId70"/></Relationships>
</file>

<file path=xl/worksheets/_rels/sheet7.xml.rels><Relationships xmlns="http://schemas.openxmlformats.org/package/2006/relationships"><Relationship Type="http://schemas.openxmlformats.org/officeDocument/2006/relationships/hyperlink" Target="#'&#26469;&#28304;&#19982;&#35777;&#25454;'!A8" TargetMode="External" Id="rId1"/><Relationship Type="http://schemas.openxmlformats.org/officeDocument/2006/relationships/hyperlink" Target="#'&#26469;&#28304;&#19982;&#35777;&#25454;'!A8" TargetMode="External" Id="rId2"/><Relationship Type="http://schemas.openxmlformats.org/officeDocument/2006/relationships/hyperlink" Target="#'&#26469;&#28304;&#19982;&#35777;&#25454;'!A8" TargetMode="External" Id="rId3"/><Relationship Type="http://schemas.openxmlformats.org/officeDocument/2006/relationships/hyperlink" Target="#'&#26469;&#28304;&#19982;&#35777;&#25454;'!A8" TargetMode="External" Id="rId4"/><Relationship Type="http://schemas.openxmlformats.org/officeDocument/2006/relationships/hyperlink" Target="#'&#26469;&#28304;&#19982;&#35777;&#25454;'!A8" TargetMode="External" Id="rId5"/><Relationship Type="http://schemas.openxmlformats.org/officeDocument/2006/relationships/hyperlink" Target="#'&#26469;&#28304;&#19982;&#35777;&#25454;'!A8" TargetMode="External" Id="rId6"/><Relationship Type="http://schemas.openxmlformats.org/officeDocument/2006/relationships/hyperlink" Target="#'&#26469;&#28304;&#19982;&#35777;&#25454;'!A8" TargetMode="External" Id="rId7"/><Relationship Type="http://schemas.openxmlformats.org/officeDocument/2006/relationships/hyperlink" Target="#'&#26469;&#28304;&#19982;&#35777;&#25454;'!A8" TargetMode="External" Id="rId8"/><Relationship Type="http://schemas.openxmlformats.org/officeDocument/2006/relationships/hyperlink" Target="#'&#26469;&#28304;&#19982;&#35777;&#25454;'!A7" TargetMode="External" Id="rId9"/><Relationship Type="http://schemas.openxmlformats.org/officeDocument/2006/relationships/hyperlink" Target="#'&#26469;&#28304;&#19982;&#35777;&#25454;'!A10" TargetMode="External" Id="rId10"/><Relationship Type="http://schemas.openxmlformats.org/officeDocument/2006/relationships/hyperlink" Target="#'&#26469;&#28304;&#19982;&#35777;&#25454;'!A11" TargetMode="External" Id="rId11"/><Relationship Type="http://schemas.openxmlformats.org/officeDocument/2006/relationships/hyperlink" Target="#'&#26469;&#28304;&#19982;&#35777;&#25454;'!A11" TargetMode="External" Id="rId12"/><Relationship Type="http://schemas.openxmlformats.org/officeDocument/2006/relationships/hyperlink" Target="#'&#26469;&#28304;&#19982;&#35777;&#25454;'!A12" TargetMode="External" Id="rId13"/><Relationship Type="http://schemas.openxmlformats.org/officeDocument/2006/relationships/hyperlink" Target="#'&#26469;&#28304;&#19982;&#35777;&#25454;'!A12" TargetMode="External" Id="rId14"/><Relationship Type="http://schemas.openxmlformats.org/officeDocument/2006/relationships/hyperlink" Target="#'&#26469;&#28304;&#19982;&#35777;&#25454;'!A12" TargetMode="External" Id="rId15"/><Relationship Type="http://schemas.openxmlformats.org/officeDocument/2006/relationships/hyperlink" Target="#'&#26469;&#28304;&#19982;&#35777;&#25454;'!A13" TargetMode="External" Id="rId16"/><Relationship Type="http://schemas.openxmlformats.org/officeDocument/2006/relationships/hyperlink" Target="#'&#26469;&#28304;&#19982;&#35777;&#25454;'!A13" TargetMode="External" Id="rId17"/></Relationships>
</file>

<file path=xl/worksheets/_rels/sheet8.xml.rels><Relationships xmlns="http://schemas.openxmlformats.org/package/2006/relationships"><Relationship Type="http://schemas.openxmlformats.org/officeDocument/2006/relationships/hyperlink" Target="#'&#26469;&#28304;&#19982;&#35777;&#25454;'!A5" TargetMode="External" Id="rId1"/><Relationship Type="http://schemas.openxmlformats.org/officeDocument/2006/relationships/hyperlink" Target="#'&#26469;&#28304;&#19982;&#35777;&#25454;'!A5" TargetMode="External" Id="rId2"/><Relationship Type="http://schemas.openxmlformats.org/officeDocument/2006/relationships/hyperlink" Target="#'&#26469;&#28304;&#19982;&#35777;&#25454;'!A5" TargetMode="External" Id="rId3"/><Relationship Type="http://schemas.openxmlformats.org/officeDocument/2006/relationships/hyperlink" Target="#'&#26469;&#28304;&#19982;&#35777;&#25454;'!A5" TargetMode="External" Id="rId4"/><Relationship Type="http://schemas.openxmlformats.org/officeDocument/2006/relationships/hyperlink" Target="#'&#26469;&#28304;&#19982;&#35777;&#25454;'!A5" TargetMode="External" Id="rId5"/><Relationship Type="http://schemas.openxmlformats.org/officeDocument/2006/relationships/hyperlink" Target="#'&#26469;&#28304;&#19982;&#35777;&#25454;'!A5" TargetMode="External" Id="rId6"/><Relationship Type="http://schemas.openxmlformats.org/officeDocument/2006/relationships/hyperlink" Target="#'&#26469;&#28304;&#19982;&#35777;&#25454;'!A5" TargetMode="External" Id="rId7"/><Relationship Type="http://schemas.openxmlformats.org/officeDocument/2006/relationships/hyperlink" Target="#'&#26469;&#28304;&#19982;&#35777;&#25454;'!A8" TargetMode="External" Id="rId8"/><Relationship Type="http://schemas.openxmlformats.org/officeDocument/2006/relationships/hyperlink" Target="#'&#26469;&#28304;&#19982;&#35777;&#25454;'!A8" TargetMode="External" Id="rId9"/><Relationship Type="http://schemas.openxmlformats.org/officeDocument/2006/relationships/hyperlink" Target="#'&#26469;&#28304;&#19982;&#35777;&#25454;'!A13" TargetMode="External" Id="rId10"/><Relationship Type="http://schemas.openxmlformats.org/officeDocument/2006/relationships/hyperlink" Target="#'&#26469;&#28304;&#19982;&#35777;&#25454;'!A13" TargetMode="External" Id="rId11"/><Relationship Type="http://schemas.openxmlformats.org/officeDocument/2006/relationships/hyperlink" Target="#'&#26469;&#28304;&#19982;&#35777;&#25454;'!A14" TargetMode="External" Id="rId12"/><Relationship Type="http://schemas.openxmlformats.org/officeDocument/2006/relationships/hyperlink" Target="#'&#26469;&#28304;&#19982;&#35777;&#25454;'!A15" TargetMode="External" Id="rId13"/><Relationship Type="http://schemas.openxmlformats.org/officeDocument/2006/relationships/hyperlink" Target="#'&#26469;&#28304;&#19982;&#35777;&#25454;'!A3" TargetMode="External" Id="rId14"/><Relationship Type="http://schemas.openxmlformats.org/officeDocument/2006/relationships/hyperlink" Target="#'&#26469;&#28304;&#19982;&#35777;&#25454;'!A3" TargetMode="External" Id="rId15"/><Relationship Type="http://schemas.openxmlformats.org/officeDocument/2006/relationships/hyperlink" Target="#'&#26469;&#28304;&#19982;&#35777;&#25454;'!A12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https://std.nscmi.com/pages/StdDataMore.aspx?id=b22a1b8b412089a84e5a0a3118213b01" TargetMode="External" Id="rId1"/><Relationship Type="http://schemas.openxmlformats.org/officeDocument/2006/relationships/hyperlink" Target="https://quicksearch.dla.mil/qsDocDetails.aspx?ident_number=208700" TargetMode="External" Id="rId2"/><Relationship Type="http://schemas.openxmlformats.org/officeDocument/2006/relationships/hyperlink" Target="https://quicksearch.dla.mil/qsDocDetails.aspx?ident_number=70037" TargetMode="External" Id="rId3"/><Relationship Type="http://schemas.openxmlformats.org/officeDocument/2006/relationships/hyperlink" Target="https://ntrs.nasa.gov/citations/19910005040" TargetMode="External" Id="rId4"/><Relationship Type="http://schemas.openxmlformats.org/officeDocument/2006/relationships/hyperlink" Target="https://ntrs.nasa.gov/api/citations/19910005040/downloads/19910005040.pdf" TargetMode="External" Id="rId5"/><Relationship Type="http://schemas.openxmlformats.org/officeDocument/2006/relationships/hyperlink" Target="https://ntrs.nasa.gov/citations/19860018620" TargetMode="External" Id="rId6"/><Relationship Type="http://schemas.openxmlformats.org/officeDocument/2006/relationships/hyperlink" Target="https://ntrs.nasa.gov/api/citations/19860018620/downloads/19860018620.pdf" TargetMode="External" Id="rId7"/><Relationship Type="http://schemas.openxmlformats.org/officeDocument/2006/relationships/hyperlink" Target="https://ntrs.nasa.gov/citations/20000085030" TargetMode="External" Id="rId8"/><Relationship Type="http://schemas.openxmlformats.org/officeDocument/2006/relationships/hyperlink" Target="https://ntrs.nasa.gov/api/citations/20000085030/downloads/20000085030.pdf" TargetMode="External" Id="rId9"/><Relationship Type="http://schemas.openxmlformats.org/officeDocument/2006/relationships/hyperlink" Target="https://ntrs.nasa.gov/citations/19780019168" TargetMode="External" Id="rId10"/><Relationship Type="http://schemas.openxmlformats.org/officeDocument/2006/relationships/hyperlink" Target="https://ntrs.nasa.gov/api/citations/19780019168/downloads/19780019168.pdf" TargetMode="External" Id="rId11"/><Relationship Type="http://schemas.openxmlformats.org/officeDocument/2006/relationships/hyperlink" Target="https://ntrs.nasa.gov/citations/19670013913" TargetMode="External" Id="rId12"/><Relationship Type="http://schemas.openxmlformats.org/officeDocument/2006/relationships/hyperlink" Target="https://ntrs.nasa.gov/api/citations/19670013913/downloads/19670013913.pdf" TargetMode="External" Id="rId13"/><Relationship Type="http://schemas.openxmlformats.org/officeDocument/2006/relationships/hyperlink" Target="https://ntrs.nasa.gov/citations/19870013257" TargetMode="External" Id="rId14"/><Relationship Type="http://schemas.openxmlformats.org/officeDocument/2006/relationships/hyperlink" Target="https://ntrs.nasa.gov/api/citations/19870013257/downloads/19870013257.pdf" TargetMode="External" Id="rId15"/><Relationship Type="http://schemas.openxmlformats.org/officeDocument/2006/relationships/hyperlink" Target="https://ntrs.nasa.gov/citations/19740006639" TargetMode="External" Id="rId16"/><Relationship Type="http://schemas.openxmlformats.org/officeDocument/2006/relationships/hyperlink" Target="https://ntrs.nasa.gov/api/citations/19740006639/downloads/19740006639.pdf" TargetMode="External" Id="rId17"/><Relationship Type="http://schemas.openxmlformats.org/officeDocument/2006/relationships/hyperlink" Target="https://ntrs.nasa.gov/citations/20200002019" TargetMode="External" Id="rId18"/><Relationship Type="http://schemas.openxmlformats.org/officeDocument/2006/relationships/hyperlink" Target="https://ntrs.nasa.gov/api/citations/20200002019/downloads/20200002019.pdf" TargetMode="External" Id="rId19"/><Relationship Type="http://schemas.openxmlformats.org/officeDocument/2006/relationships/hyperlink" Target="https://ntrs.nasa.gov/citations/20040040334" TargetMode="External" Id="rId20"/><Relationship Type="http://schemas.openxmlformats.org/officeDocument/2006/relationships/hyperlink" Target="https://ntrs.nasa.gov/api/citations/20040040334/downloads/20040040334.pdf" TargetMode="External" Id="rId21"/><Relationship Type="http://schemas.openxmlformats.org/officeDocument/2006/relationships/hyperlink" Target="https://ntrs.nasa.gov/citations/19800005879" TargetMode="External" Id="rId22"/><Relationship Type="http://schemas.openxmlformats.org/officeDocument/2006/relationships/hyperlink" Target="https://ntrs.nasa.gov/api/citations/19800005879/downloads/19800005879.pdf" TargetMode="External" Id="rId23"/><Relationship Type="http://schemas.openxmlformats.org/officeDocument/2006/relationships/hyperlink" Target="https://ntrs.nasa.gov/citations/19960047507" TargetMode="External" Id="rId24"/><Relationship Type="http://schemas.openxmlformats.org/officeDocument/2006/relationships/hyperlink" Target="https://ntrs.nasa.gov/api/citations/19960047507/downloads/19960047507.pdf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p/F_as 低阶等效模型：物理范围证据与采样建议</t>
        </is>
      </c>
    </row>
    <row r="3" ht="47" customHeight="1">
      <c r="A3" s="2" t="inlineStr">
        <is>
          <t>版本</t>
        </is>
      </c>
      <c r="B3" s="3" t="inlineStr">
        <is>
          <t>2026-08-26；适用于研究设计，不构成适航/型号符合性结论</t>
        </is>
      </c>
      <c r="C3" s="4" t="n"/>
      <c r="D3" s="4" t="n"/>
      <c r="E3" s="4" t="n"/>
      <c r="F3" s="4" t="n"/>
      <c r="G3" s="4" t="n"/>
      <c r="H3" s="4" t="n"/>
    </row>
    <row r="4" ht="47" customHeight="1">
      <c r="A4" s="5" t="inlineStr">
        <is>
          <t>一句话结论</t>
        </is>
      </c>
      <c r="B4" s="3" t="inlineStr">
        <is>
          <t>当前证据足以给出分层研究包络，但不足以估计8参数的真实联合概率；先锁定机类、飞行阶段、飞行状态和F_as定义，再生成机队。</t>
        </is>
      </c>
      <c r="C4" s="4" t="n"/>
      <c r="D4" s="4" t="n"/>
      <c r="E4" s="4" t="n"/>
      <c r="F4" s="4" t="n"/>
      <c r="G4" s="4" t="n"/>
      <c r="H4" s="4" t="n"/>
    </row>
    <row r="5" ht="47" customHeight="1">
      <c r="A5" s="2" t="inlineStr">
        <is>
          <t>最重要的联合关系</t>
        </is>
      </c>
      <c r="B5" s="3" t="inlineStr">
        <is>
          <t>K_p/F ≈ L_Fa*T_R*(omega_phi/omega_d)^2（螺旋频率以上的准稳态区）。建议先采K_p/F、T_R、R_omega，再派生L_Fa。</t>
        </is>
      </c>
      <c r="C5" s="4" t="n"/>
      <c r="D5" s="4" t="n"/>
      <c r="E5" s="4" t="n"/>
      <c r="F5" s="4" t="n"/>
      <c r="G5" s="4" t="n"/>
      <c r="H5" s="4" t="n"/>
    </row>
    <row r="6" ht="47" customHeight="1">
      <c r="A6" s="5" t="inlineStr">
        <is>
          <t>螺旋参数</t>
        </is>
      </c>
      <c r="B6" s="3" t="inlineStr">
        <is>
          <t>数据库主存lambda_s：lambda_s&lt;0稳定，=0中性，&gt;0发散；发散时T2=ln(2)/lambda_s。不要跨零均匀采有符号T_s。</t>
        </is>
      </c>
      <c r="C6" s="4" t="n"/>
      <c r="D6" s="4" t="n"/>
      <c r="E6" s="4" t="n"/>
      <c r="F6" s="4" t="n"/>
      <c r="G6" s="4" t="n"/>
      <c r="H6" s="4" t="n"/>
    </row>
    <row r="7" ht="47" customHeight="1">
      <c r="A7" s="2" t="inlineStr">
        <is>
          <t>零点参数</t>
        </is>
      </c>
      <c r="B7" s="3" t="inlineStr">
        <is>
          <t>omega_phi=R_omega*omega_d；R_omega核心0.80-1.15、扩展0.65-1.35。zeta_phi建议直接条件采样；R_zeta只做派生统计。</t>
        </is>
      </c>
      <c r="C7" s="4" t="n"/>
      <c r="D7" s="4" t="n"/>
      <c r="E7" s="4" t="n"/>
      <c r="F7" s="4" t="n"/>
      <c r="G7" s="4" t="n"/>
      <c r="H7" s="4" t="n"/>
    </row>
    <row r="8" ht="47" customHeight="1">
      <c r="A8" s="5" t="inlineStr">
        <is>
          <t>时延</t>
        </is>
      </c>
      <c r="B8" s="3" t="inlineStr">
        <is>
          <t>0.01-0.10 s作为核心研究区，0.10-0.20 s为高延迟，0.20-0.25 s为极限压力；必须区分纯运输时延与等效时延。</t>
        </is>
      </c>
      <c r="C8" s="4" t="n"/>
      <c r="D8" s="4" t="n"/>
      <c r="E8" s="4" t="n"/>
      <c r="F8" s="4" t="n"/>
      <c r="G8" s="4" t="n"/>
      <c r="H8" s="4" t="n"/>
    </row>
    <row r="9" ht="47" customHeight="1">
      <c r="A9" s="2" t="inlineStr">
        <is>
          <t>辅助量</t>
        </is>
      </c>
      <c r="B9" s="3" t="inlineStr">
        <is>
          <t>F_as,max按操纵器分桶；p_c,max由任务和K_p/F*Fmax可达性推导。Fdot_as,max目前只有低置信工程敏感性范围，没有找到跨机型通用标准。</t>
        </is>
      </c>
      <c r="C9" s="4" t="n"/>
      <c r="D9" s="4" t="n"/>
      <c r="E9" s="4" t="n"/>
      <c r="F9" s="4" t="n"/>
      <c r="G9" s="4" t="n"/>
      <c r="H9" s="4" t="n"/>
    </row>
    <row r="10" ht="47" customHeight="1">
      <c r="A10" s="5" t="inlineStr">
        <is>
          <t>禁止事项</t>
        </is>
      </c>
      <c r="B10" s="3" t="inlineStr">
        <is>
          <t>不要把GJB等级边界当物理采样分布；不要把战斗机杆力增益套到运输机/UAS；不要将8维独立均匀采样。</t>
        </is>
      </c>
      <c r="C10" s="4" t="n"/>
      <c r="D10" s="4" t="n"/>
      <c r="E10" s="4" t="n"/>
      <c r="F10" s="4" t="n"/>
      <c r="G10" s="4" t="n"/>
      <c r="H10" s="4" t="n"/>
    </row>
    <row r="13">
      <c r="A13" s="6" t="inlineStr">
        <is>
          <t>建议使用顺序</t>
        </is>
      </c>
    </row>
    <row r="14" ht="27" customHeight="1">
      <c r="A14" s="7" t="inlineStr">
        <is>
          <t>1. 在“分场景范围”选择目标机类/阶段。</t>
        </is>
      </c>
    </row>
    <row r="15" ht="27" customHeight="1">
      <c r="A15" s="7" t="inlineStr">
        <is>
          <t>2. 在“8参数建议”确定核心、边界、OOD三种用途。</t>
        </is>
      </c>
    </row>
    <row r="16" ht="27" customHeight="1">
      <c r="A16" s="7" t="inlineStr">
        <is>
          <t>3. 按“联合采样规则”顺序生成，并执行准入闸门。</t>
        </is>
      </c>
    </row>
    <row r="17" ht="27" customHeight="1">
      <c r="A17" s="7" t="inlineStr">
        <is>
          <t>4. 用“标准边界”单独打Level标签，不改变物理来源标签。</t>
        </is>
      </c>
    </row>
    <row r="18" ht="27" customHeight="1">
      <c r="A18" s="7" t="inlineStr">
        <is>
          <t>5. 用“当前项目对照”迁移现有网格；原L继续保留为normalized_gain。</t>
        </is>
      </c>
    </row>
    <row r="19" ht="27" customHeight="1">
      <c r="A19" s="7" t="inlineStr">
        <is>
          <t>6. 后续补真实型号数据时，追加到“证据点_宽表”和“证据事实_长表”，不要覆盖原始记录。</t>
        </is>
      </c>
    </row>
    <row r="21">
      <c r="A21" s="6" t="inlineStr">
        <is>
          <t>颜色含义</t>
        </is>
      </c>
    </row>
    <row r="22">
      <c r="A22" s="8" t="inlineStr">
        <is>
          <t>蓝</t>
        </is>
      </c>
      <c r="B22" s="8" t="inlineStr">
        <is>
          <t>直接证据/转录值</t>
        </is>
      </c>
    </row>
    <row r="23">
      <c r="A23" s="9" t="inlineStr">
        <is>
          <t>绿</t>
        </is>
      </c>
      <c r="B23" s="9" t="inlineStr">
        <is>
          <t>建议核心研究区</t>
        </is>
      </c>
    </row>
    <row r="24">
      <c r="A24" s="10" t="inlineStr">
        <is>
          <t>黄</t>
        </is>
      </c>
      <c r="B24" s="10" t="inlineStr">
        <is>
          <t>工程建议或待标定</t>
        </is>
      </c>
    </row>
    <row r="25">
      <c r="A25" s="11" t="inlineStr">
        <is>
          <t>红</t>
        </is>
      </c>
      <c r="B25" s="11" t="inlineStr">
        <is>
          <t>OOD/极限压力，不代表常见飞机</t>
        </is>
      </c>
    </row>
  </sheetData>
  <mergeCells count="21">
    <mergeCell ref="B9:H9"/>
    <mergeCell ref="A15:H15"/>
    <mergeCell ref="B6:H6"/>
    <mergeCell ref="B24:H24"/>
    <mergeCell ref="A1:H1"/>
    <mergeCell ref="B5:H5"/>
    <mergeCell ref="B4:H4"/>
    <mergeCell ref="A16:H16"/>
    <mergeCell ref="B7:H7"/>
    <mergeCell ref="B25:H25"/>
    <mergeCell ref="B3:H3"/>
    <mergeCell ref="A18:H18"/>
    <mergeCell ref="B22:H22"/>
    <mergeCell ref="A21:H21"/>
    <mergeCell ref="A14:H14"/>
    <mergeCell ref="B23:H23"/>
    <mergeCell ref="A17:H17"/>
    <mergeCell ref="B8:H8"/>
    <mergeCell ref="A13:H13"/>
    <mergeCell ref="A19:H19"/>
    <mergeCell ref="B10:H10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28" customWidth="1" min="7" max="7"/>
    <col width="28" customWidth="1" min="8" max="8"/>
    <col width="14" customWidth="1" min="9" max="9"/>
    <col width="28" customWidth="1" min="10" max="10"/>
    <col width="14" customWidth="1" min="11" max="11"/>
    <col width="28" customWidth="1" min="12" max="12"/>
    <col width="34" customWidth="1" min="13" max="13"/>
    <col width="34" customWidth="1" min="14" max="14"/>
    <col width="14" customWidth="1" min="15" max="15"/>
    <col width="28" customWidth="1" min="16" max="16"/>
    <col width="28" customWidth="1" min="17" max="17"/>
  </cols>
  <sheetData>
    <row r="1" ht="34" customHeight="1">
      <c r="A1" s="12" t="inlineStr">
        <is>
          <t>priority</t>
        </is>
      </c>
      <c r="B1" s="12" t="inlineStr">
        <is>
          <t>parameter</t>
        </is>
      </c>
      <c r="C1" s="12" t="inlineStr">
        <is>
          <t>symbol</t>
        </is>
      </c>
      <c r="D1" s="12" t="inlineStr">
        <is>
          <t>unit</t>
        </is>
      </c>
      <c r="E1" s="12" t="inlineStr">
        <is>
          <t>sign_convention</t>
        </is>
      </c>
      <c r="F1" s="12" t="inlineStr">
        <is>
          <t>physical_role</t>
        </is>
      </c>
      <c r="G1" s="12" t="inlineStr">
        <is>
          <t>observed_evidence</t>
        </is>
      </c>
      <c r="H1" s="12" t="inlineStr">
        <is>
          <t>recommended_core</t>
        </is>
      </c>
      <c r="I1" s="12" t="inlineStr">
        <is>
          <t>ood_stress</t>
        </is>
      </c>
      <c r="J1" s="12" t="inlineStr">
        <is>
          <t>hard_gate</t>
        </is>
      </c>
      <c r="K1" s="12" t="inlineStr">
        <is>
          <t>nominal_center</t>
        </is>
      </c>
      <c r="L1" s="12" t="inlineStr">
        <is>
          <t>sampling_method</t>
        </is>
      </c>
      <c r="M1" s="12" t="inlineStr">
        <is>
          <t>joint_dependencies</t>
        </is>
      </c>
      <c r="N1" s="12" t="inlineStr">
        <is>
          <t>quality_boundary</t>
        </is>
      </c>
      <c r="O1" s="12" t="inlineStr">
        <is>
          <t>confidence</t>
        </is>
      </c>
      <c r="P1" s="12" t="inlineStr">
        <is>
          <t>source_ids</t>
        </is>
      </c>
      <c r="Q1" s="12" t="inlineStr">
        <is>
          <t>caveat</t>
        </is>
      </c>
    </row>
    <row r="2" ht="48" customHeight="1">
      <c r="A2" s="13" t="inlineStr">
        <is>
          <t>核心1</t>
        </is>
      </c>
      <c r="B2" s="13" t="inlineStr">
        <is>
          <t>滚转操纵增益</t>
        </is>
      </c>
      <c r="C2" s="13" t="inlineStr">
        <is>
          <t>L_Fa</t>
        </is>
      </c>
      <c r="D2" s="13" t="inlineStr">
        <is>
          <t>rad/(N*s^2)</t>
        </is>
      </c>
      <c r="E2" s="13" t="inlineStr">
        <is>
          <t>表中给绝对值；输入正方向单独存sign_Fa</t>
        </is>
      </c>
      <c r="F2" s="13" t="inlineStr">
        <is>
          <t>输入杆力到初始滚转加速度的LOES增益</t>
        </is>
      </c>
      <c r="G2" s="14" t="inlineStr">
        <is>
          <t>原始NT-33/LATHOS矩阵约25-120 deg/s^2/lbf (=0.098-0.471 SI)；后续K_p/F=5档可条件派生到更低值</t>
        </is>
      </c>
      <c r="H2" s="15" t="inlineStr">
        <is>
          <t>不要独立采样；先采K_p/F=5-25 deg/s/lbf，再由公式计算；有人战斗机建议结果约0.04-0.47</t>
        </is>
      </c>
      <c r="I2" s="16" t="inlineStr">
        <is>
          <t>超出0.47只作为故障/外推；其他机类未取得足够力输入辨识数据，不应硬套战斗机范围</t>
        </is>
      </c>
      <c r="J2" s="13" t="inlineStr">
        <is>
          <t>|L_Fa|&gt;0；单位和F_as定义一致；K_p/F=L_Fa*T_R*R_omega^2须落入目标机类可达区间</t>
        </is>
      </c>
      <c r="K2" s="17" t="inlineStr">
        <is>
          <t>由K_p/F、T_R、R_omega条件计算；示例K=18 deg/s/lbf,T_R=0.4,R=1 -&gt; 0.1765 SI</t>
        </is>
      </c>
      <c r="L2" s="13" t="inlineStr">
        <is>
          <t>conditional/derived</t>
        </is>
      </c>
      <c r="M2" s="13" t="inlineStr">
        <is>
          <t>K_p/F, T_R, R_omega, F_as,max；不可和T_R独立均匀</t>
        </is>
      </c>
      <c r="N2" s="13" t="inlineStr">
        <is>
          <t>标准给操纵力/效能与灵敏度要求，但不提供通用L_Fa上下限</t>
        </is>
      </c>
      <c r="O2" s="13" t="inlineStr">
        <is>
          <t>中（力指令战斗机）；低（跨机类）</t>
        </is>
      </c>
      <c r="P2" s="18" t="inlineStr">
        <is>
          <t>S04,S02,S14</t>
        </is>
      </c>
      <c r="Q2" s="13" t="inlineStr">
        <is>
          <t>当前项目L用于DC归一化，不能直接改名为L_Fa。</t>
        </is>
      </c>
    </row>
    <row r="3" ht="48" customHeight="1">
      <c r="A3" s="13" t="inlineStr">
        <is>
          <t>核心2</t>
        </is>
      </c>
      <c r="B3" s="13" t="inlineStr">
        <is>
          <t>滚转模态时间常数</t>
        </is>
      </c>
      <c r="C3" s="13" t="inlineStr">
        <is>
          <t>T_R</t>
        </is>
      </c>
      <c r="D3" s="13" t="inlineStr">
        <is>
          <t>s</t>
        </is>
      </c>
      <c r="E3" s="13" t="inlineStr">
        <is>
          <t>稳定滚转沉降模态取正值，极点=-1/T_R</t>
        </is>
      </c>
      <c r="F3" s="13" t="inlineStr">
        <is>
          <t>滚转角速度建立快慢</t>
        </is>
      </c>
      <c r="G3" s="14" t="inlineStr">
        <is>
          <t>有人/构型数据约0.15-1.80；UAS/缩比模型0.063-0.232；F-16XL飞行0.21-0.61</t>
        </is>
      </c>
      <c r="H3" s="15" t="inlineStr">
        <is>
          <t>有人固定翼0.15-1.8；小型UAS 0.06-0.25；混合研究先验0.08-2.0（必须带class标签）</t>
        </is>
      </c>
      <c r="I3" s="16" t="inlineStr">
        <is>
          <t>0.05-0.08快速端；2.0-3.0慢端；3-10仅规范边界/故障压力，不当作常见飞机</t>
        </is>
      </c>
      <c r="J3" s="13" t="inlineStr">
        <is>
          <t>T_R&gt;0；建议与采样步长满足T_R&gt;=5*dt；按GJB表A18分场景打等级</t>
        </is>
      </c>
      <c r="K3" s="17" t="inlineStr">
        <is>
          <t>战斗/FBW约0.3-0.6；运输/未增稳可到0.8-1.8；无全机类单一nominal</t>
        </is>
      </c>
      <c r="L3" s="13" t="inlineStr">
        <is>
          <t>按机类分层后log-LHS或分位层化</t>
        </is>
      </c>
      <c r="M3" s="13" t="inlineStr">
        <is>
          <t>tau_p, K_p/F, L_Fa；危险组合需单独留出</t>
        </is>
      </c>
      <c r="N3" s="13" t="inlineStr">
        <is>
          <t>GJB A18 Level 1上限1.0或1.4；Level 2上限1.4或3.0；Level 3上限10</t>
        </is>
      </c>
      <c r="O3" s="13" t="inlineStr">
        <is>
          <t>高（边界）；中高（示例包络）</t>
        </is>
      </c>
      <c r="P3" s="18" t="inlineStr">
        <is>
          <t>S01,S04,S06,S07,S09,S11,S12</t>
        </is>
      </c>
      <c r="Q3" s="13" t="inlineStr">
        <is>
          <t>观察包络不是出现概率。</t>
        </is>
      </c>
    </row>
    <row r="4" ht="48" customHeight="1">
      <c r="A4" s="13" t="inlineStr">
        <is>
          <t>核心3</t>
        </is>
      </c>
      <c r="B4" s="13" t="inlineStr">
        <is>
          <t>等效滚转时延</t>
        </is>
      </c>
      <c r="C4" s="13" t="inlineStr">
        <is>
          <t>tau_p</t>
        </is>
      </c>
      <c r="D4" s="13" t="inlineStr">
        <is>
          <t>s</t>
        </is>
      </c>
      <c r="E4" s="13" t="inlineStr">
        <is>
          <t>非负；统一记录delay_definition</t>
        </is>
      </c>
      <c r="F4" s="13" t="inlineStr">
        <is>
          <t>杆力到可辨识滚转响应起始的等效延迟</t>
        </is>
      </c>
      <c r="G4" s="14" t="inlineStr">
        <is>
          <t>F-18横向输入0.0125；XV-15 0.045；NT-33常见0.055/0.110试验档；F-16XL有效时延约0.15</t>
        </is>
      </c>
      <c r="H4" s="15" t="inlineStr">
        <is>
          <t>0.01-0.10；典型设计档0.03/0.055/0.08</t>
        </is>
      </c>
      <c r="I4" s="16" t="inlineStr">
        <is>
          <t>0.10-0.20为高延迟；0.20-0.25为极限压力；&gt;0.25仅故障/明确研究</t>
        </is>
      </c>
      <c r="J4" s="13" t="inlineStr">
        <is>
          <t>tau_p&gt;=0；纯延迟、等效延迟、计算/执行器分量不可混记；离散实现需说明分数延迟方法</t>
        </is>
      </c>
      <c r="K4" s="17" t="inlineStr">
        <is>
          <t>0.05-0.08（研究中心，不是跨机型统计均值）</t>
        </is>
      </c>
      <c r="L4" s="13" t="inlineStr">
        <is>
          <t>分层抽样；核心与高延迟尾部设独立配额</t>
        </is>
      </c>
      <c r="M4" s="13" t="inlineStr">
        <is>
          <t>T_R, L_Fa/K_pF, feel-system dynamics</t>
        </is>
      </c>
      <c r="N4" s="13" t="inlineStr">
        <is>
          <t>MIL-HDBK建议等效滚转时延Level 1/2/3约&lt;=0.10/0.20/0.25 s</t>
        </is>
      </c>
      <c r="O4" s="13" t="inlineStr">
        <is>
          <t>中高（示例与边界）；中（定义一致性）</t>
        </is>
      </c>
      <c r="P4" s="18" t="inlineStr">
        <is>
          <t>S02,S04,S05,S06,S09,S12</t>
        </is>
      </c>
      <c r="Q4" s="13" t="inlineStr">
        <is>
          <t>你们模型的e^{-tau*s}是纯运输延迟；来源常给等效时延。</t>
        </is>
      </c>
    </row>
    <row r="5" ht="48" customHeight="1">
      <c r="A5" s="13" t="inlineStr">
        <is>
          <t>核心4</t>
        </is>
      </c>
      <c r="B5" s="13" t="inlineStr">
        <is>
          <t>荷兰滚阻尼比</t>
        </is>
      </c>
      <c r="C5" s="13" t="inlineStr">
        <is>
          <t>zeta_d</t>
        </is>
      </c>
      <c r="D5" s="13" t="inlineStr">
        <is>
          <t>1</t>
        </is>
      </c>
      <c r="E5" s="13" t="inlineStr">
        <is>
          <t>稳定欠阻尼对取0&lt;zeta_d&lt;1</t>
        </is>
      </c>
      <c r="F5" s="13" t="inlineStr">
        <is>
          <t>横航向振荡衰减</t>
        </is>
      </c>
      <c r="G5" s="14" t="inlineStr">
        <is>
          <t>示例有人机约0.051-0.72；Cessna 177B约&gt;0.4/&gt;0.5；UAS模型约0.21-0.33</t>
        </is>
      </c>
      <c r="H5" s="15" t="inlineStr">
        <is>
          <t>有人固定翼0.08-0.50；高迎角/高阻尼扩到0.80；混合研究0.08-0.60</t>
        </is>
      </c>
      <c r="I5" s="16" t="inlineStr">
        <is>
          <t>0.02-0.08低阻尼；0.60-0.80高阻尼；zeta&gt;=1不再是振荡荷兰滚对</t>
        </is>
      </c>
      <c r="J5" s="13" t="inlineStr">
        <is>
          <t>0.02&lt;=zeta_d&lt;1用于当前欠阻尼LOES；同时检查zeta_d*omega_d和GJB A35场景</t>
        </is>
      </c>
      <c r="K5" s="17" t="inlineStr">
        <is>
          <t>0.20-0.35，仅作覆盖中心</t>
        </is>
      </c>
      <c r="L5" s="13" t="inlineStr">
        <is>
          <t>与omega_d联合；在品质边界两侧做分层，不建议独立U分布</t>
        </is>
      </c>
      <c r="M5" s="13" t="inlineStr">
        <is>
          <t>omega_d, zeta_phi；质量指标还含zeta_d*omega_d</t>
        </is>
      </c>
      <c r="N5" s="13" t="inlineStr">
        <is>
          <t>GJB A35按机类/阶段给zeta_d和zeta_d*omega_d下限；Level 2为0.02和0.05</t>
        </is>
      </c>
      <c r="O5" s="13" t="inlineStr">
        <is>
          <t>高（边界）；中（总体分布）</t>
        </is>
      </c>
      <c r="P5" s="18" t="inlineStr">
        <is>
          <t>S01,S06,S07,S09,S10,S11</t>
        </is>
      </c>
      <c r="Q5" s="13" t="inlineStr">
        <is>
          <t>Level 3允许0并不等于应采zeta_d=0作为正常飞机。</t>
        </is>
      </c>
    </row>
    <row r="6" ht="48" customHeight="1">
      <c r="A6" s="13" t="inlineStr">
        <is>
          <t>核心5</t>
        </is>
      </c>
      <c r="B6" s="13" t="inlineStr">
        <is>
          <t>荷兰滚自然频率</t>
        </is>
      </c>
      <c r="C6" s="13" t="inlineStr">
        <is>
          <t>omega_d</t>
        </is>
      </c>
      <c r="D6" s="13" t="inlineStr">
        <is>
          <t>rad/s</t>
        </is>
      </c>
      <c r="E6" s="13" t="inlineStr">
        <is>
          <t>正值</t>
        </is>
      </c>
      <c r="F6" s="13" t="inlineStr">
        <is>
          <t>横航向振荡快慢</t>
        </is>
      </c>
      <c r="G6" s="14" t="inlineStr">
        <is>
          <t>有人机/构型示例0.522-3.38；UltraStick原尺度模型3.99-5.59，另表工况至7.85</t>
        </is>
      </c>
      <c r="H6" s="15" t="inlineStr">
        <is>
          <t>有人固定翼0.5-3.5；小型UAS 1.8-6.0；混合研究0.5-4.0（必须带class标签）</t>
        </is>
      </c>
      <c r="I6" s="16" t="inlineStr">
        <is>
          <t>0.4-0.5低频边界；4-6为小型机/UAS或高频压力；6-8只用于相应小型UAS场景</t>
        </is>
      </c>
      <c r="J6" s="13" t="inlineStr">
        <is>
          <t>omega_d&gt;0；通常&gt;=0.4以满足宽松品质底线；同时检查zeta_d*omega_d</t>
        </is>
      </c>
      <c r="K6" s="17" t="inlineStr">
        <is>
          <t>大型运输约0.7-1.2；有人战斗/通航约1.5-3.0；UAS更高</t>
        </is>
      </c>
      <c r="L6" s="13" t="inlineStr">
        <is>
          <t>按机类log-LHS；与zeta_d、R_omega联合</t>
        </is>
      </c>
      <c r="M6" s="13" t="inlineStr">
        <is>
          <t>zeta_d, R_omega, omega_phi</t>
        </is>
      </c>
      <c r="N6" s="13" t="inlineStr">
        <is>
          <t>GJB A35常见下限0.4或1.0 rad/s，取决于机类/阶段</t>
        </is>
      </c>
      <c r="O6" s="13" t="inlineStr">
        <is>
          <t>高（边界）；中高（示例包络）</t>
        </is>
      </c>
      <c r="P6" s="18" t="inlineStr">
        <is>
          <t>S01,S04,S06,S07,S09,S10,S11</t>
        </is>
      </c>
      <c r="Q6" s="13" t="inlineStr">
        <is>
          <t>UAS频率不能无条件混入有人机机队。</t>
        </is>
      </c>
    </row>
    <row r="7" ht="48" customHeight="1">
      <c r="A7" s="13" t="inlineStr">
        <is>
          <t>第二优先</t>
        </is>
      </c>
      <c r="B7" s="13" t="inlineStr">
        <is>
          <t>螺旋时间常数/极点</t>
        </is>
      </c>
      <c r="C7" s="13" t="inlineStr">
        <is>
          <t>T_s（派生）, lambda_s（主存储）</t>
        </is>
      </c>
      <c r="D7" s="13" t="inlineStr">
        <is>
          <t>s; 1/s</t>
        </is>
      </c>
      <c r="E7" s="13" t="inlineStr">
        <is>
          <t>lambda_s&lt;0稳定；=0中性；&gt;0发散；T_s=-1/lambda_s</t>
        </is>
      </c>
      <c r="F7" s="13" t="inlineStr">
        <is>
          <t>慢螺旋收敛或发散速度</t>
        </is>
      </c>
      <c r="G7" s="14" t="inlineStr">
        <is>
          <t>稳定T_s示例11.5、15.9及约22-257 s，对应lambda约-0.087至-0.0039；SST含中性构型</t>
        </is>
      </c>
      <c r="H7" s="15" t="inlineStr">
        <is>
          <t>lambda稳定[-0.10,-0.003]（T_s约+10至+333 s）；中性严格取0；发散核心T2=8-100 s，对应lambda=[0.00693,0.08664]、有符号T_s约-144至-11.5 s</t>
        </is>
      </c>
      <c r="I7" s="16" t="inlineStr">
        <is>
          <t>慢发散T2=100-300 s单独近中性桶；T2=4-8 s即lambda=[0.08664,0.17329]为快速发散压力</t>
        </is>
      </c>
      <c r="J7" s="13" t="inlineStr">
        <is>
          <t>直接存lambda_s和spiral_state；发散T2=ln(2)/lambda_s；不要对跨零T_s做均匀采样</t>
        </is>
      </c>
      <c r="K7" s="17" t="inlineStr">
        <is>
          <t>先采状态类别，再在|lambda|上log-LHS；类别权重不能冒充真实概率</t>
        </is>
      </c>
      <c r="L7" s="13" t="inlineStr">
        <is>
          <t>categorical + conditional log sampling</t>
        </is>
      </c>
      <c r="M7" s="13" t="inlineStr">
        <is>
          <t>flight phase/class；与T_R保持慢/快模态可分离并做辨识检查</t>
        </is>
      </c>
      <c r="N7" s="13" t="inlineStr">
        <is>
          <t>GJB A19发散倍幅时间Level 1/2/3最小值：A/C 12/8/4 s，B 20/8/4 s</t>
        </is>
      </c>
      <c r="O7" s="13" t="inlineStr">
        <is>
          <t>高（符号/边界）；中（稳定示例）；低（真实类别概率）</t>
        </is>
      </c>
      <c r="P7" s="18" t="inlineStr">
        <is>
          <t>S01,S06,S07,S09,S11</t>
        </is>
      </c>
      <c r="Q7" s="13" t="inlineStr">
        <is>
          <t>建议数据库主字段用lambda_s；T_s仅显示派生值。</t>
        </is>
      </c>
    </row>
    <row r="8" ht="48" customHeight="1">
      <c r="A8" s="13" t="inlineStr">
        <is>
          <t>第三优先</t>
        </is>
      </c>
      <c r="B8" s="13" t="inlineStr">
        <is>
          <t>分子零点阻尼</t>
        </is>
      </c>
      <c r="C8" s="13" t="inlineStr">
        <is>
          <t>zeta_phi</t>
        </is>
      </c>
      <c r="D8" s="13" t="inlineStr">
        <is>
          <t>1</t>
        </is>
      </c>
      <c r="E8" s="13" t="inlineStr">
        <is>
          <t>当前欠阻尼零点参数化取0&lt;zeta_phi&lt;1</t>
        </is>
      </c>
      <c r="F8" s="13" t="inlineStr">
        <is>
          <t>p/F_as通道荷兰滚耦合零点的阻尼</t>
        </is>
      </c>
      <c r="G8" s="14" t="inlineStr">
        <is>
          <t>SST 8构型约0.237-0.265；XV-15飞行辨识0.313</t>
        </is>
      </c>
      <c r="H8" s="15" t="inlineStr">
        <is>
          <t>0.20-0.35；优先直接采zeta_phi或条件采Delta zeta并截断</t>
        </is>
      </c>
      <c r="I8" s="16" t="inlineStr">
        <is>
          <t>0.10-0.20与0.35-0.70为结构压力；必须单独标记为外推</t>
        </is>
      </c>
      <c r="J8" s="13" t="inlineStr">
        <is>
          <t>0&lt;zeta_phi&lt;1；不得让zeta_d+Delta zeta&lt;=0；检查零点位置和响应有限性</t>
        </is>
      </c>
      <c r="K8" s="17" t="inlineStr">
        <is>
          <t>约0.25-0.30（来自少量构型，不是总体均值）</t>
        </is>
      </c>
      <c r="L8" s="13" t="inlineStr">
        <is>
          <t>truncated/LHS；不建议独立采R_zeta</t>
        </is>
      </c>
      <c r="M8" s="13" t="inlineStr">
        <is>
          <t>zeta_d；R_zeta=zeta_phi/zeta_d仅派生统计</t>
        </is>
      </c>
      <c r="N8" s="13" t="inlineStr">
        <is>
          <t>GJB/MIL未给独立上下限，采用完整响应/耦合品质图评价</t>
        </is>
      </c>
      <c r="O8" s="13" t="inlineStr">
        <is>
          <t>中低</t>
        </is>
      </c>
      <c r="P8" s="18" t="inlineStr">
        <is>
          <t>S01,S07,S09,S08</t>
        </is>
      </c>
      <c r="Q8" s="13" t="inlineStr">
        <is>
          <t>当zeta_d很小时R_zeta会很大，即使zeta_phi正常；故R_zeta不宜作主采样轴。</t>
        </is>
      </c>
    </row>
    <row r="9" ht="48" customHeight="1">
      <c r="A9" s="13" t="inlineStr">
        <is>
          <t>第三优先</t>
        </is>
      </c>
      <c r="B9" s="13" t="inlineStr">
        <is>
          <t>分子零点频率</t>
        </is>
      </c>
      <c r="C9" s="13" t="inlineStr">
        <is>
          <t>omega_phi</t>
        </is>
      </c>
      <c r="D9" s="13" t="inlineStr">
        <is>
          <t>rad/s</t>
        </is>
      </c>
      <c r="E9" s="13" t="inlineStr">
        <is>
          <t>正值</t>
        </is>
      </c>
      <c r="F9" s="13" t="inlineStr">
        <is>
          <t>p/F_as通道荷兰滚耦合零点频率</t>
        </is>
      </c>
      <c r="G9" s="14" t="inlineStr">
        <is>
          <t>SST构型约0.455-0.744；XV-15飞行辨识1.89</t>
        </is>
      </c>
      <c r="H9" s="15" t="inlineStr">
        <is>
          <t>不独立采；R_omega=0.80-1.15后令omega_phi=R_omega*omega_d</t>
        </is>
      </c>
      <c r="I9" s="16" t="inlineStr">
        <is>
          <t>R_omega扩展0.65-1.35；0.5-1.5只作算法压力，不称正常机队</t>
        </is>
      </c>
      <c r="J9" s="13" t="inlineStr">
        <is>
          <t>omega_phi&gt;0；记录R_omega；检查近抵消造成的可辨识性和数值条件数</t>
        </is>
      </c>
      <c r="K9" s="17" t="inlineStr">
        <is>
          <t>R_omega约1；不是omega_phi固定为某个绝对频率</t>
        </is>
      </c>
      <c r="L9" s="13" t="inlineStr">
        <is>
          <t>derived from omega_d and R_omega</t>
        </is>
      </c>
      <c r="M9" s="13" t="inlineStr">
        <is>
          <t>omega_d, R_omega；与zeta_phi/zeta_d共同控制近抵消</t>
        </is>
      </c>
      <c r="N9" s="13" t="inlineStr">
        <is>
          <t>NASA运输构型研究：满意0.80-1.15，可接受0.65-1.35；标准无通用独立范围</t>
        </is>
      </c>
      <c r="O9" s="13" t="inlineStr">
        <is>
          <t>中（R_omega）；低到中（跨机类绝对omega_phi）</t>
        </is>
      </c>
      <c r="P9" s="18" t="inlineStr">
        <is>
          <t>S07,S08,S09,S01</t>
        </is>
      </c>
      <c r="Q9" s="13" t="inlineStr">
        <is>
          <t>完全独立采omega_phi和omega_d会产生大量缺乏依据的组合。</t>
        </is>
      </c>
    </row>
  </sheetData>
  <autoFilter ref="A1:Q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</hyperlink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  <col width="28" customWidth="1" min="15" max="15"/>
  </cols>
  <sheetData>
    <row r="1" ht="34" customHeight="1">
      <c r="A1" s="12" t="inlineStr">
        <is>
          <t>scenario</t>
        </is>
      </c>
      <c r="B1" s="12" t="inlineStr">
        <is>
          <t>evidence_status</t>
        </is>
      </c>
      <c r="C1" s="12" t="inlineStr">
        <is>
          <t>T_R_s</t>
        </is>
      </c>
      <c r="D1" s="12" t="inlineStr">
        <is>
          <t>tau_p_s</t>
        </is>
      </c>
      <c r="E1" s="12" t="inlineStr">
        <is>
          <t>zeta_d</t>
        </is>
      </c>
      <c r="F1" s="12" t="inlineStr">
        <is>
          <t>omega_d_rad_s</t>
        </is>
      </c>
      <c r="G1" s="12" t="inlineStr">
        <is>
          <t>spiral</t>
        </is>
      </c>
      <c r="H1" s="12" t="inlineStr">
        <is>
          <t>R_omega</t>
        </is>
      </c>
      <c r="I1" s="12" t="inlineStr">
        <is>
          <t>zeta_phi</t>
        </is>
      </c>
      <c r="J1" s="12" t="inlineStr">
        <is>
          <t>K_pF</t>
        </is>
      </c>
      <c r="K1" s="12" t="inlineStr">
        <is>
          <t>L_Fa</t>
        </is>
      </c>
      <c r="L1" s="12" t="inlineStr">
        <is>
          <t>F_as_max</t>
        </is>
      </c>
      <c r="M1" s="12" t="inlineStr">
        <is>
          <t>p_c</t>
        </is>
      </c>
      <c r="N1" s="12" t="inlineStr">
        <is>
          <t>source_ids</t>
        </is>
      </c>
      <c r="O1" s="12" t="inlineStr">
        <is>
          <t>warning</t>
        </is>
      </c>
    </row>
    <row r="2" ht="48" customHeight="1">
      <c r="A2" s="13" t="inlineStr">
        <is>
          <t>有人战斗/高机动，一般包线</t>
        </is>
      </c>
      <c r="B2" s="13" t="inlineStr">
        <is>
          <t>P1飞行试验较强；仍不是总体统计</t>
        </is>
      </c>
      <c r="C2" s="13" t="inlineStr">
        <is>
          <t>0.15-0.80</t>
        </is>
      </c>
      <c r="D2" s="13" t="inlineStr">
        <is>
          <t>0.01-0.10；0.10-0.15高延迟</t>
        </is>
      </c>
      <c r="E2" s="13" t="inlineStr">
        <is>
          <t>0.08-0.70</t>
        </is>
      </c>
      <c r="F2" s="13" t="inlineStr">
        <is>
          <t>1.0-3.5</t>
        </is>
      </c>
      <c r="G2" s="13" t="inlineStr">
        <is>
          <t>稳定/中性/慢发散分层；按GJB阶段</t>
        </is>
      </c>
      <c r="H2" s="13" t="inlineStr">
        <is>
          <t>0.80-1.15核心；0.65-1.35扩展</t>
        </is>
      </c>
      <c r="I2" s="13" t="inlineStr">
        <is>
          <t>0.20-0.40暂定</t>
        </is>
      </c>
      <c r="J2" s="13" t="inlineStr">
        <is>
          <t>10-18 deg/s/lbf核心；5-25扩展</t>
        </is>
      </c>
      <c r="K2" s="13" t="inlineStr">
        <is>
          <t>由K/(T_R*R_omega^2)计算，建议&lt;=0.471 SI</t>
        </is>
      </c>
      <c r="L2" s="13" t="inlineStr">
        <is>
          <t>力感侧杆约80 N例证；中杆Level 1常见89-111 N</t>
        </is>
      </c>
      <c r="M2" s="13" t="inlineStr">
        <is>
          <t>由0.6-0.8*K_pF*Fmax推导；硬上限再受控制律约束，战斗机例证约300 deg/s</t>
        </is>
      </c>
      <c r="N2" s="18" t="inlineStr">
        <is>
          <t>S04,S05,S06,S12,S13,S14,S02</t>
        </is>
      </c>
      <c r="O2" s="13" t="inlineStr">
        <is>
          <t>高灵敏+小T_R+大tau必须作为联合hard case，不要当独立边缘事件。</t>
        </is>
      </c>
    </row>
    <row r="3" ht="48" customHeight="1">
      <c r="A3" s="13" t="inlineStr">
        <is>
          <t>有人战斗，高迎角/类别III任务</t>
        </is>
      </c>
      <c r="B3" s="13" t="inlineStr">
        <is>
          <t>P1单一F-18 HARV点+战斗机构型研究</t>
        </is>
      </c>
      <c r="C3" s="13" t="inlineStr">
        <is>
          <t>0.6-2.0</t>
        </is>
      </c>
      <c r="D3" s="13" t="inlineStr">
        <is>
          <t>0.01-0.15</t>
        </is>
      </c>
      <c r="E3" s="13" t="inlineStr">
        <is>
          <t>0.10-0.80</t>
        </is>
      </c>
      <c r="F3" s="13" t="inlineStr">
        <is>
          <t>0.4-2.5</t>
        </is>
      </c>
      <c r="G3" s="13" t="inlineStr">
        <is>
          <t>实机点T_s=11.5 s稳定；其余需按包线辨识</t>
        </is>
      </c>
      <c r="H3" s="13" t="inlineStr">
        <is>
          <t>0.65-1.35研究覆盖</t>
        </is>
      </c>
      <c r="I3" s="13" t="inlineStr">
        <is>
          <t>0.15-0.50暂定</t>
        </is>
      </c>
      <c r="J3" s="13" t="inlineStr">
        <is>
          <t>必须随迎角/限幅调度</t>
        </is>
      </c>
      <c r="K3" s="13" t="inlineStr">
        <is>
          <t>条件派生，不沿用巡航固定增益</t>
        </is>
      </c>
      <c r="L3" s="13" t="inlineStr">
        <is>
          <t>侧杆硬件可不变，但命令梯度/限幅会调度</t>
        </is>
      </c>
      <c r="M3" s="13" t="inlineStr">
        <is>
          <t>例证从正常308降到约90-165 deg/s</t>
        </is>
      </c>
      <c r="N3" s="18" t="inlineStr">
        <is>
          <t>S06,S13</t>
        </is>
      </c>
      <c r="O3" s="13" t="inlineStr">
        <is>
          <t>高迎角参数不可混成一架飞机的固定theta；必须保存alpha/Mach。</t>
        </is>
      </c>
    </row>
    <row r="4" ht="48" customHeight="1">
      <c r="A4" s="13" t="inlineStr">
        <is>
          <t>大型运输/进近</t>
        </is>
      </c>
      <c r="B4" s="13" t="inlineStr">
        <is>
          <t>P2概念机模拟构型完整；需补量产机LOES</t>
        </is>
      </c>
      <c r="C4" s="13" t="inlineStr">
        <is>
          <t>0.20-1.80</t>
        </is>
      </c>
      <c r="D4" s="13" t="inlineStr">
        <is>
          <t>0.02-0.12暂定；0.12-0.20压力</t>
        </is>
      </c>
      <c r="E4" s="13" t="inlineStr">
        <is>
          <t>0.08-0.50</t>
        </is>
      </c>
      <c r="F4" s="13" t="inlineStr">
        <is>
          <t>0.5-1.5</t>
        </is>
      </c>
      <c r="G4" s="13" t="inlineStr">
        <is>
          <t>稳定、中性、慢发散；发散按T2分级</t>
        </is>
      </c>
      <c r="H4" s="13" t="inlineStr">
        <is>
          <t>0.80-1.15满意；0.65-1.35可接受</t>
        </is>
      </c>
      <c r="I4" s="13" t="inlineStr">
        <is>
          <t>0.20-0.35</t>
        </is>
      </c>
      <c r="J4" s="13" t="inlineStr">
        <is>
          <t>缺少同口径杆力实机数据，先留空/标定</t>
        </is>
      </c>
      <c r="K4" s="13" t="inlineStr">
        <is>
          <t>无跨机型通用值；必须和操纵器及Fmax一起辨识</t>
        </is>
      </c>
      <c r="L4" s="13" t="inlineStr">
        <is>
          <t>中杆Level 1通常89-111 N；驾驶盘可更高</t>
        </is>
      </c>
      <c r="M4" s="13" t="inlineStr">
        <is>
          <t>按任务和可达滚转率推导，不采用战斗机300 deg/s</t>
        </is>
      </c>
      <c r="N4" s="18" t="inlineStr">
        <is>
          <t>S07,S01,S02</t>
        </is>
      </c>
      <c r="O4" s="13" t="inlineStr">
        <is>
          <t>SST表是构型模拟，不可解释为运输机总体分布。</t>
        </is>
      </c>
    </row>
    <row r="5" ht="48" customHeight="1">
      <c r="A5" s="13" t="inlineStr">
        <is>
          <t>轻型通航有人机</t>
        </is>
      </c>
      <c r="B5" s="13" t="inlineStr">
        <is>
          <t>P1荷兰滚飞行点+P2 Cessna模型；L_Fa证据不足</t>
        </is>
      </c>
      <c r="C5" s="13" t="inlineStr">
        <is>
          <t>0.08-0.8暂定（Cessna模型点0.08）</t>
        </is>
      </c>
      <c r="D5" s="13" t="inlineStr">
        <is>
          <t>机械/增稳架构相关；0.01-0.10仅研究先验</t>
        </is>
      </c>
      <c r="E5" s="13" t="inlineStr">
        <is>
          <t>0.20-0.60</t>
        </is>
      </c>
      <c r="F5" s="13" t="inlineStr">
        <is>
          <t>1.5-3.5</t>
        </is>
      </c>
      <c r="G5" s="13" t="inlineStr">
        <is>
          <t>稳定示例lambda约-0.011 1/s；仍需具体型号</t>
        </is>
      </c>
      <c r="H5" s="13" t="inlineStr">
        <is>
          <t>0.65-1.35暂用，证据较弱</t>
        </is>
      </c>
      <c r="I5" s="13" t="inlineStr">
        <is>
          <t>0.15-0.40暂定</t>
        </is>
      </c>
      <c r="J5" s="13" t="inlineStr">
        <is>
          <t>需实机杆力/侧杆位移口径辨识</t>
        </is>
      </c>
      <c r="K5" s="13" t="inlineStr">
        <is>
          <t>不可套NT-33战斗机值</t>
        </is>
      </c>
      <c r="L5" s="13" t="inlineStr">
        <is>
          <t>中心杆Level 1参考约89 N</t>
        </is>
      </c>
      <c r="M5" s="13" t="inlineStr">
        <is>
          <t>由任务与可达滚转率定义；建议先用可达值的0.6-0.8</t>
        </is>
      </c>
      <c r="N5" s="18" t="inlineStr">
        <is>
          <t>S10,S11,S02</t>
        </is>
      </c>
      <c r="O5" s="13" t="inlineStr">
        <is>
          <t>Cessna 172表值来自模型对照，不等同于Cessna 177B飞行辨识。</t>
        </is>
      </c>
    </row>
    <row r="6" ht="48" customHeight="1">
      <c r="A6" s="13" t="inlineStr">
        <is>
          <t>小型固定翼UAS</t>
        </is>
      </c>
      <c r="B6" s="13" t="inlineStr">
        <is>
          <t>P2模型/缩比分析；物理输入通常不是杆力</t>
        </is>
      </c>
      <c r="C6" s="13" t="inlineStr">
        <is>
          <t>0.06-0.25</t>
        </is>
      </c>
      <c r="D6" s="13" t="inlineStr">
        <is>
          <t>0.01-0.10暂定，取决于链路/执行器</t>
        </is>
      </c>
      <c r="E6" s="13" t="inlineStr">
        <is>
          <t>0.20-0.40</t>
        </is>
      </c>
      <c r="F6" s="13" t="inlineStr">
        <is>
          <t>1.8-6.0；特定原尺度工况可到7.85</t>
        </is>
      </c>
      <c r="G6" s="13" t="inlineStr">
        <is>
          <t>示例稳定lambda约-0.04至-0.011 1/s</t>
        </is>
      </c>
      <c r="H6" s="13" t="inlineStr">
        <is>
          <t>需由p/actuator通道辨识，不直接继承杆力通道</t>
        </is>
      </c>
      <c r="I6" s="13" t="inlineStr">
        <is>
          <t>需辨识</t>
        </is>
      </c>
      <c r="J6" s="13" t="inlineStr">
        <is>
          <t>不适用，除非人为定义虚拟力感操纵器</t>
        </is>
      </c>
      <c r="K6" s="13" t="inlineStr">
        <is>
          <t>不适用；改用p/delta_a或p/u_act增益</t>
        </is>
      </c>
      <c r="L6" s="13" t="inlineStr">
        <is>
          <t>不适用</t>
        </is>
      </c>
      <c r="M6" s="13" t="inlineStr">
        <is>
          <t>由任务/结构/执行器限制定义</t>
        </is>
      </c>
      <c r="N6" s="18" t="inlineStr">
        <is>
          <t>S11</t>
        </is>
      </c>
      <c r="O6" s="13" t="inlineStr">
        <is>
          <t>UAS模态可扩展omega_d范围，但不能为F_as相关参数提供物理证据。</t>
        </is>
      </c>
    </row>
    <row r="7" ht="48" customHeight="1">
      <c r="A7" s="13" t="inlineStr">
        <is>
          <t>跨机类算法压力集（不是机队概率）</t>
        </is>
      </c>
      <c r="B7" s="13" t="inlineStr">
        <is>
          <t>工程覆盖建议</t>
        </is>
      </c>
      <c r="C7" s="13" t="inlineStr">
        <is>
          <t>0.05-3.0；3-10另设极端桶</t>
        </is>
      </c>
      <c r="D7" s="13" t="inlineStr">
        <is>
          <t>0.01-0.20；0.20-0.25另设极端桶</t>
        </is>
      </c>
      <c r="E7" s="13" t="inlineStr">
        <is>
          <t>0.02-0.80</t>
        </is>
      </c>
      <c r="F7" s="13" t="inlineStr">
        <is>
          <t>0.4-6.0；UAS专桶到8.0</t>
        </is>
      </c>
      <c r="G7" s="13" t="inlineStr">
        <is>
          <t>稳定[-0.10,-0.003]；中性；发散T2=4-100 s</t>
        </is>
      </c>
      <c r="H7" s="13" t="inlineStr">
        <is>
          <t>0.65-1.35；0.5-1.5只作结构OOD</t>
        </is>
      </c>
      <c r="I7" s="13" t="inlineStr">
        <is>
          <t>0.10-0.70，核心0.20-0.35</t>
        </is>
      </c>
      <c r="J7" s="13" t="inlineStr">
        <is>
          <t>力指令有人战斗机5-25 deg/s/lbf；其他类留空</t>
        </is>
      </c>
      <c r="K7" s="13" t="inlineStr">
        <is>
          <t>仅在同口径F_as场景条件派生</t>
        </is>
      </c>
      <c r="L7" s="13" t="inlineStr">
        <is>
          <t>按操纵器分桶，不能统一</t>
        </is>
      </c>
      <c r="M7" s="13" t="inlineStr">
        <is>
          <t>按K_pF*Fmax与任务约束派生</t>
        </is>
      </c>
      <c r="N7" s="18" t="inlineStr">
        <is>
          <t>S01-S14</t>
        </is>
      </c>
      <c r="O7" s="13" t="inlineStr">
        <is>
          <t>严禁把本行每列独立U采样；必须先选scenario。</t>
        </is>
      </c>
    </row>
  </sheetData>
  <autoFilter ref="A1:O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</hyperlink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28" customWidth="1" min="9" max="9"/>
  </cols>
  <sheetData>
    <row r="1" ht="34" customHeight="1">
      <c r="A1" s="12" t="inlineStr">
        <is>
          <t>parameter</t>
        </is>
      </c>
      <c r="B1" s="12" t="inlineStr">
        <is>
          <t>symbol</t>
        </is>
      </c>
      <c r="C1" s="12" t="inlineStr">
        <is>
          <t>unit</t>
        </is>
      </c>
      <c r="D1" s="12" t="inlineStr">
        <is>
          <t>evidence</t>
        </is>
      </c>
      <c r="E1" s="12" t="inlineStr">
        <is>
          <t>recommendation</t>
        </is>
      </c>
      <c r="F1" s="12" t="inlineStr">
        <is>
          <t>status</t>
        </is>
      </c>
      <c r="G1" s="12" t="inlineStr">
        <is>
          <t>formula_or_gate</t>
        </is>
      </c>
      <c r="H1" s="12" t="inlineStr">
        <is>
          <t>source_ids</t>
        </is>
      </c>
      <c r="I1" s="12" t="inlineStr">
        <is>
          <t>warning</t>
        </is>
      </c>
    </row>
    <row r="2" ht="48" customHeight="1">
      <c r="A2" s="13" t="inlineStr">
        <is>
          <t>最大杆力</t>
        </is>
      </c>
      <c r="B2" s="13" t="inlineStr">
        <is>
          <t>F_as,max</t>
        </is>
      </c>
      <c r="C2" s="13" t="inlineStr">
        <is>
          <t>N</t>
        </is>
      </c>
      <c r="D2" s="13" t="inlineStr">
        <is>
          <t>MIL-HDBK中杆Level 1按类约20-25 lbf=89-111 N；Level 3 35 lbf=156 N；F-16XL侧杆映射约9 lbf后达最大命令</t>
        </is>
      </c>
      <c r="E2" s="13" t="inlineStr">
        <is>
          <t>按centerstick/sidestick/wheel分桶；力感侧杆研究默认可用±80 N并做±40/±100 N敏感性</t>
        </is>
      </c>
      <c r="F2" s="13" t="inlineStr">
        <is>
          <t>标准边界+型号例证；没有跨操纵器统一值</t>
        </is>
      </c>
      <c r="G2" s="13" t="inlineStr">
        <is>
          <t>action_SI=clip(action_norm,-1,1)*F_as,max</t>
        </is>
      </c>
      <c r="H2" s="18" t="inlineStr">
        <is>
          <t>S02,S13,S14</t>
        </is>
      </c>
      <c r="I2" s="13" t="inlineStr">
        <is>
          <t>驾驶盘力不能直接当侧杆横向力。</t>
        </is>
      </c>
    </row>
    <row r="3" ht="48" customHeight="1">
      <c r="A3" s="13" t="inlineStr">
        <is>
          <t>杆力变化率</t>
        </is>
      </c>
      <c r="B3" s="13" t="inlineStr">
        <is>
          <t>Fdot_as,max</t>
        </is>
      </c>
      <c r="C3" s="13" t="inlineStr">
        <is>
          <t>N/s</t>
        </is>
      </c>
      <c r="D3" s="13" t="inlineStr">
        <is>
          <t>未找到可跨机型直接套用的公开标准；NT-33力感系统试验频率8/13/26 rad/s</t>
        </is>
      </c>
      <c r="E3" s="13" t="inlineStr">
        <is>
          <t>优先建力感系统动态；敏感性暂用500-2000 N/s，默认约1000 N/s</t>
        </is>
      </c>
      <c r="F3" s="13" t="inlineStr">
        <is>
          <t>低置信工程先验，不是标准</t>
        </is>
      </c>
      <c r="G3" s="13" t="inlineStr">
        <is>
          <t>一阶近似Fdot_scale约omega_feel*Fmax；需按真实加载器/操纵器校准</t>
        </is>
      </c>
      <c r="H3" s="18" t="inlineStr">
        <is>
          <t>S04</t>
        </is>
      </c>
      <c r="I3" s="13" t="inlineStr">
        <is>
          <t>不要在论文中把500-2000 N/s写成GJB/MIL要求。</t>
        </is>
      </c>
    </row>
    <row r="4" ht="48" customHeight="1">
      <c r="A4" s="13" t="inlineStr">
        <is>
          <t>滚转率命令上限</t>
        </is>
      </c>
      <c r="B4" s="13" t="inlineStr">
        <is>
          <t>p_c,max</t>
        </is>
      </c>
      <c r="C4" s="13" t="inlineStr">
        <is>
          <t>deg/s</t>
        </is>
      </c>
      <c r="D4" s="13" t="inlineStr">
        <is>
          <t>F-16基础构型/XL例证约300-308 deg/s；高迎角限幅可约90-165 deg/s</t>
        </is>
      </c>
      <c r="E4" s="13" t="inlineStr">
        <is>
          <t>按任务和可达性派生：p_c,max&lt;=eta*K_pF*Fmax，eta=0.6-0.8作为初始裕度；再施加型号控制律硬限</t>
        </is>
      </c>
      <c r="F4" s="13" t="inlineStr">
        <is>
          <t>型号例证+工程派生；不是所有飞机统一300 deg/s</t>
        </is>
      </c>
      <c r="G4" s="13" t="inlineStr">
        <is>
          <t>p_c,max &lt;= eta*K_pF*F_as,max(lbf)</t>
        </is>
      </c>
      <c r="H4" s="18" t="inlineStr">
        <is>
          <t>S13,S14,S04</t>
        </is>
      </c>
      <c r="I4" s="13" t="inlineStr">
        <is>
          <t>运输/通航机必须用本类任务限制，不能沿用战斗机上限。</t>
        </is>
      </c>
    </row>
    <row r="5" ht="48" customHeight="1">
      <c r="A5" s="13" t="inlineStr">
        <is>
          <t>指令任务幅值</t>
        </is>
      </c>
      <c r="B5" s="13" t="inlineStr">
        <is>
          <t>p_c,test</t>
        </is>
      </c>
      <c r="C5" s="13" t="inlineStr">
        <is>
          <t>deg/s</t>
        </is>
      </c>
      <c r="D5" s="13" t="inlineStr">
        <is>
          <t>标准更多规定任务/响应品质，不给统一RL命令分布</t>
        </is>
      </c>
      <c r="E5" s="13" t="inlineStr">
        <is>
          <t>step用0.25/0.5/0.75*p_c,max；reversal用±0.5*p_c,max起步；另设饱和测试</t>
        </is>
      </c>
      <c r="F5" s="13" t="inlineStr">
        <is>
          <t>实验设计建议</t>
        </is>
      </c>
      <c r="G5" s="13" t="inlineStr">
        <is>
          <t>训练集必须记录command_profile_id和幅值占比</t>
        </is>
      </c>
      <c r="H5" s="18" t="inlineStr">
        <is>
          <t>S01,S04,S12</t>
        </is>
      </c>
      <c r="I5" s="13" t="inlineStr">
        <is>
          <t>命令分布不等于飞行员真实任务统计。</t>
        </is>
      </c>
    </row>
    <row r="6" ht="48" customHeight="1">
      <c r="A6" s="13" t="inlineStr">
        <is>
          <t>飞行状态</t>
        </is>
      </c>
      <c r="B6" s="13" t="inlineStr">
        <is>
          <t>V,h,n_z,alpha,Mach</t>
        </is>
      </c>
      <c r="C6" s="13" t="inlineStr">
        <is>
          <t>mixed</t>
        </is>
      </c>
      <c r="D6" s="13" t="inlineStr">
        <is>
          <t>同一飞机在不同速度/迎角的模态和控制限幅明显变化</t>
        </is>
      </c>
      <c r="E6" s="13" t="inlineStr">
        <is>
          <t>每个theta绑定condition_id；至少保存V/h/Mach/alpha/n_z/构型/重量/重心</t>
        </is>
      </c>
      <c r="F6" s="13" t="inlineStr">
        <is>
          <t>必须字段</t>
        </is>
      </c>
      <c r="G6" s="13" t="inlineStr">
        <is>
          <t>theta=f(aircraft,condition,configuration)</t>
        </is>
      </c>
      <c r="H6" s="18" t="inlineStr">
        <is>
          <t>S01,S06,S10,S12,S13</t>
        </is>
      </c>
      <c r="I6" s="13" t="inlineStr">
        <is>
          <t>没有condition_id时不要称3000架飞机，准确说法是3000个plant-condition样本。</t>
        </is>
      </c>
    </row>
  </sheetData>
  <autoFilter ref="A1:I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4" customHeight="1">
      <c r="A1" s="12" t="inlineStr">
        <is>
          <t>step</t>
        </is>
      </c>
      <c r="B1" s="12" t="inlineStr">
        <is>
          <t>variable</t>
        </is>
      </c>
      <c r="C1" s="12" t="inlineStr">
        <is>
          <t>rule</t>
        </is>
      </c>
      <c r="D1" s="12" t="inlineStr">
        <is>
          <t>suggested_design</t>
        </is>
      </c>
      <c r="E1" s="12" t="inlineStr">
        <is>
          <t>reject_or_flag</t>
        </is>
      </c>
      <c r="F1" s="12" t="inlineStr">
        <is>
          <t>basis</t>
        </is>
      </c>
      <c r="G1" s="12" t="inlineStr">
        <is>
          <t>source_ids</t>
        </is>
      </c>
    </row>
    <row r="2" ht="48" customHeight="1">
      <c r="A2" s="13" t="n">
        <v>1</v>
      </c>
      <c r="B2" s="13" t="inlineStr">
        <is>
          <t>scenario/class/flight_phase</t>
        </is>
      </c>
      <c r="C2" s="13" t="inlineStr">
        <is>
          <t>先选机类、飞行阶段、控制器/操纵器类型，再选参数；每条记录保存标签。</t>
        </is>
      </c>
      <c r="D2" s="13" t="inlineStr">
        <is>
          <t>分层配额；配额是实验设计，不标称真实比例</t>
        </is>
      </c>
      <c r="E2" s="13" t="inlineStr">
        <is>
          <t>缺class或phase的样本不得进入物理机队主表</t>
        </is>
      </c>
      <c r="F2" s="13" t="inlineStr">
        <is>
          <t>GJB分类框架</t>
        </is>
      </c>
      <c r="G2" s="18" t="inlineStr">
        <is>
          <t>S01</t>
        </is>
      </c>
    </row>
    <row r="3" ht="48" customHeight="1">
      <c r="A3" s="13" t="n">
        <v>2</v>
      </c>
      <c r="B3" s="13" t="inlineStr">
        <is>
          <t>V,h,n_z,alpha,Mach,configuration,mass,cg</t>
        </is>
      </c>
      <c r="C3" s="13" t="inlineStr">
        <is>
          <t>把theta视为飞机在特定状态的条件参数；同一飞机可有多个condition_id。</t>
        </is>
      </c>
      <c r="D3" s="13" t="inlineStr">
        <is>
          <t>包线分层+危险/极限点显式覆盖</t>
        </is>
      </c>
      <c r="E3" s="13" t="inlineStr">
        <is>
          <t>缺飞行状态时标为unknown，不与状态明确的实机点混算分布</t>
        </is>
      </c>
      <c r="F3" s="13" t="inlineStr">
        <is>
          <t>GJB使用包线要求</t>
        </is>
      </c>
      <c r="G3" s="18" t="inlineStr">
        <is>
          <t>S01,S06,S12</t>
        </is>
      </c>
    </row>
    <row r="4" ht="48" customHeight="1">
      <c r="A4" s="13" t="n">
        <v>3</v>
      </c>
      <c r="B4" s="13" t="inlineStr">
        <is>
          <t>T_R</t>
        </is>
      </c>
      <c r="C4" s="13" t="inlineStr">
        <is>
          <t>在场景范围内按对数尺度或分位层化抽样，不跨机类用一个U分布。</t>
        </is>
      </c>
      <c r="D4" s="13" t="inlineStr">
        <is>
          <t>core 80% + boundary/OOD 20%仅为覆盖起点，权重需后续锁定</t>
        </is>
      </c>
      <c r="E4" s="13" t="inlineStr">
        <is>
          <t>T_R&lt;=0；或不满足离散分辨率T_R&gt;=5*dt</t>
        </is>
      </c>
      <c r="F4" s="13" t="inlineStr">
        <is>
          <t>实机/模拟证据包络+数值分辨率</t>
        </is>
      </c>
      <c r="G4" s="18" t="inlineStr">
        <is>
          <t>S04,S06,S07,S09,S11,S12</t>
        </is>
      </c>
    </row>
    <row r="5" ht="48" customHeight="1">
      <c r="A5" s="13" t="n">
        <v>4</v>
      </c>
      <c r="B5" s="13" t="inlineStr">
        <is>
          <t>lambda_s</t>
        </is>
      </c>
      <c r="C5" s="13" t="inlineStr">
        <is>
          <t>先采stable/neutral/divergent类别；再采|lambda_s|。发散建议直接采T2再换算lambda=ln2/T2。</t>
        </is>
      </c>
      <c r="D5" s="13" t="inlineStr">
        <is>
          <t>类别配额显式给出；|lambda|用log-LHS</t>
        </is>
      </c>
      <c r="E5" s="13" t="inlineStr">
        <is>
          <t>跨0均匀采T_s；或只存有符号T_s而不存spiral_state</t>
        </is>
      </c>
      <c r="F5" s="13" t="inlineStr">
        <is>
          <t>符号安全+GJB A19</t>
        </is>
      </c>
      <c r="G5" s="18" t="inlineStr">
        <is>
          <t>S01,S06,S07,S09</t>
        </is>
      </c>
    </row>
    <row r="6" ht="48" customHeight="1">
      <c r="A6" s="13" t="n">
        <v>5</v>
      </c>
      <c r="B6" s="13" t="inlineStr">
        <is>
          <t>omega_d,zeta_d</t>
        </is>
      </c>
      <c r="C6" s="13" t="inlineStr">
        <is>
          <t>联合抽样并检查zeta_d*omega_d；在所选GJB边界两侧分层。</t>
        </is>
      </c>
      <c r="D6" s="13" t="inlineStr">
        <is>
          <t>二维maximin LHS或按品质等级分桶</t>
        </is>
      </c>
      <c r="E6" s="13" t="inlineStr">
        <is>
          <t>omega_d&lt;=0；zeta_d&lt;=0或&gt;=1；场景品质约束不一致</t>
        </is>
      </c>
      <c r="F6" s="13" t="inlineStr">
        <is>
          <t>GJB A35+实机点</t>
        </is>
      </c>
      <c r="G6" s="18" t="inlineStr">
        <is>
          <t>S01,S06,S07,S09,S10,S11</t>
        </is>
      </c>
    </row>
    <row r="7" ht="48" customHeight="1">
      <c r="A7" s="13" t="n">
        <v>6</v>
      </c>
      <c r="B7" s="13" t="inlineStr">
        <is>
          <t>R_omega</t>
        </is>
      </c>
      <c r="C7" s="13" t="inlineStr">
        <is>
          <t>核心0.80-1.15；扩展尾部0.65-0.80和1.15-1.35；算法OOD才到0.5-1.5。</t>
        </is>
      </c>
      <c r="D7" s="13" t="inlineStr">
        <is>
          <t>围绕1分层；不要让近抵消点占据所有样本</t>
        </is>
      </c>
      <c r="E7" s="13" t="inlineStr">
        <is>
          <t>未记录R_omega或omega_phi与omega_d不一致</t>
        </is>
      </c>
      <c r="F7" s="13" t="inlineStr">
        <is>
          <t>运输构型评价+广域模拟</t>
        </is>
      </c>
      <c r="G7" s="18" t="inlineStr">
        <is>
          <t>S07,S08</t>
        </is>
      </c>
    </row>
    <row r="8" ht="48" customHeight="1">
      <c r="A8" s="13" t="n">
        <v>7</v>
      </c>
      <c r="B8" s="13" t="inlineStr">
        <is>
          <t>omega_phi</t>
        </is>
      </c>
      <c r="C8" s="13" t="inlineStr">
        <is>
          <t>omega_phi=R_omega*omega_d，作为派生量写回数据库。</t>
        </is>
      </c>
      <c r="D8" s="13" t="inlineStr">
        <is>
          <t>不独立采样</t>
        </is>
      </c>
      <c r="E8" s="13" t="inlineStr">
        <is>
          <t>omega_phi&lt;=0；派生残差超过数值容差</t>
        </is>
      </c>
      <c r="F8" s="13" t="inlineStr">
        <is>
          <t>零极点相对位置</t>
        </is>
      </c>
      <c r="G8" s="18" t="inlineStr">
        <is>
          <t>S07,S09</t>
        </is>
      </c>
    </row>
    <row r="9" ht="48" customHeight="1">
      <c r="A9" s="13" t="n">
        <v>8</v>
      </c>
      <c r="B9" s="13" t="inlineStr">
        <is>
          <t>zeta_phi</t>
        </is>
      </c>
      <c r="C9" s="13" t="inlineStr">
        <is>
          <t>核心0.20-0.35；压力0.10-0.70。优先直接采；若用Delta zeta则条件截断。</t>
        </is>
      </c>
      <c r="D9" s="13" t="inlineStr">
        <is>
          <t>truncated LHS；R_zeta只做派生统计</t>
        </is>
      </c>
      <c r="E9" s="13" t="inlineStr">
        <is>
          <t>zeta_phi&lt;=0或&gt;=1；近抵消导致不可辨识时加identifiability标志</t>
        </is>
      </c>
      <c r="F9" s="13" t="inlineStr">
        <is>
          <t>少量完整LOES数据+标准未设独立边界</t>
        </is>
      </c>
      <c r="G9" s="18" t="inlineStr">
        <is>
          <t>S01,S07,S09</t>
        </is>
      </c>
    </row>
    <row r="10" ht="48" customHeight="1">
      <c r="A10" s="13" t="n">
        <v>9</v>
      </c>
      <c r="B10" s="13" t="inlineStr">
        <is>
          <t>K_p/F</t>
        </is>
      </c>
      <c r="C10" s="13" t="inlineStr">
        <is>
          <t>对同一F_as定义的有人力指令场景先采准稳态滚转率/力灵敏度。</t>
        </is>
      </c>
      <c r="D10" s="13" t="inlineStr">
        <is>
          <t>战斗机证据：核心10-18、扩展5-25 deg/s/lbf；其他机类待标定</t>
        </is>
      </c>
      <c r="E10" s="13" t="inlineStr">
        <is>
          <t>力、位移、副翼偏角三种输入混用</t>
        </is>
      </c>
      <c r="F10" s="13" t="inlineStr">
        <is>
          <t>NT-33/LATHOS</t>
        </is>
      </c>
      <c r="G10" s="18" t="inlineStr">
        <is>
          <t>S04</t>
        </is>
      </c>
    </row>
    <row r="11" ht="48" customHeight="1">
      <c r="A11" s="13" t="n">
        <v>10</v>
      </c>
      <c r="B11" s="13" t="inlineStr">
        <is>
          <t>L_Fa</t>
        </is>
      </c>
      <c r="C11" s="13" t="inlineStr">
        <is>
          <t>L_Fa=K_pF/(T_R*R_omega^2)；再检查L_Fa和可达滚转率。</t>
        </is>
      </c>
      <c r="D11" s="13" t="inlineStr">
        <is>
          <t>派生，不独立抽样；有人战斗机建议&lt;=0.471 SI</t>
        </is>
      </c>
      <c r="E11" s="13" t="inlineStr">
        <is>
          <t>派生L_Fa超证据包络却未标OOD；符号或单位不一致</t>
        </is>
      </c>
      <c r="F11" s="13" t="inlineStr">
        <is>
          <t>模型低频（螺旋以上）关系+LATHOS矩阵</t>
        </is>
      </c>
      <c r="G11" s="18" t="inlineStr">
        <is>
          <t>S04</t>
        </is>
      </c>
    </row>
    <row r="12" ht="48" customHeight="1">
      <c r="A12" s="13" t="n">
        <v>11</v>
      </c>
      <c r="B12" s="13" t="inlineStr">
        <is>
          <t>tau_p</t>
        </is>
      </c>
      <c r="C12" s="13" t="inlineStr">
        <is>
          <t>按核心、高延迟、极限三桶采样，并保存delay_definition。</t>
        </is>
      </c>
      <c r="D12" s="13" t="inlineStr">
        <is>
          <t>0.01-0.10核心；0.10-0.20高延迟；0.20-0.25极限</t>
        </is>
      </c>
      <c r="E12" s="13" t="inlineStr">
        <is>
          <t>等效时延直接当纯运输延迟且无说明；tau/dt取整造成未量化误差</t>
        </is>
      </c>
      <c r="F12" s="13" t="inlineStr">
        <is>
          <t>飞行辨识+MIL-HDBK边界</t>
        </is>
      </c>
      <c r="G12" s="18" t="inlineStr">
        <is>
          <t>S02,S04,S05,S06,S09,S12</t>
        </is>
      </c>
    </row>
    <row r="13" ht="48" customHeight="1">
      <c r="A13" s="13" t="n">
        <v>12</v>
      </c>
      <c r="B13" s="13" t="inlineStr">
        <is>
          <t>F_as,max,Fdot_as,max,p_c,max</t>
        </is>
      </c>
      <c r="C13" s="13" t="inlineStr">
        <is>
          <t>按操纵器和任务派生；p_c,max&lt;=eta*K_pF*Fmax，eta建议0.6-0.8作为裕度。</t>
        </is>
      </c>
      <c r="D13" s="13" t="inlineStr">
        <is>
          <t>Fdot用力感系统动态建模，默认只做500-2000 N/s敏感性</t>
        </is>
      </c>
      <c r="E13" s="13" t="inlineStr">
        <is>
          <t>使用统一[-1,1]却不保存物理缩放；把Fdot暂定值称为标准</t>
        </is>
      </c>
      <c r="F13" s="13" t="inlineStr">
        <is>
          <t>操纵力指南+F-16/NT-33例证</t>
        </is>
      </c>
      <c r="G13" s="18" t="inlineStr">
        <is>
          <t>S02,S04,S13,S14</t>
        </is>
      </c>
    </row>
    <row r="14" ht="48" customHeight="1">
      <c r="A14" s="13" t="n">
        <v>13</v>
      </c>
      <c r="B14" s="13" t="inlineStr">
        <is>
          <t>joint gates</t>
        </is>
      </c>
      <c r="C14" s="13" t="inlineStr">
        <is>
          <t>检查极点/零点、响应有限、单位、可达性、品质等级、近抵消可辨识性。</t>
        </is>
      </c>
      <c r="D14" s="13" t="inlineStr">
        <is>
          <t>保留reject_reason，不静默丢弃</t>
        </is>
      </c>
      <c r="E14" s="13" t="inlineStr">
        <is>
          <t>不稳定非目标模态、非有限响应、动作无法达到命令、输入饱和占比失控</t>
        </is>
      </c>
      <c r="F14" s="13" t="inlineStr">
        <is>
          <t>模型/数值/任务一致性</t>
        </is>
      </c>
      <c r="G14" s="18" t="inlineStr">
        <is>
          <t>S01,S15</t>
        </is>
      </c>
    </row>
    <row r="15" ht="48" customHeight="1">
      <c r="A15" s="13" t="n">
        <v>14</v>
      </c>
      <c r="B15" s="13" t="inlineStr">
        <is>
          <t>OOD split</t>
        </is>
      </c>
      <c r="C15" s="13" t="inlineStr">
        <is>
          <t>把大L_Fa+小T_R+大tau、低zeta_d、R_omega尾部、快速螺旋发散做组合留出。</t>
        </is>
      </c>
      <c r="D15" s="13" t="inlineStr">
        <is>
          <t>按组合定义holdout，不只是每一维超界</t>
        </is>
      </c>
      <c r="E15" s="13" t="inlineStr">
        <is>
          <t>训练集和OOD集仅因随机种子不同但覆盖区域相同</t>
        </is>
      </c>
      <c r="F15" s="13" t="inlineStr">
        <is>
          <t>控制难度由交互决定</t>
        </is>
      </c>
      <c r="G15" s="18" t="inlineStr">
        <is>
          <t>S04,S05</t>
        </is>
      </c>
    </row>
  </sheetData>
  <autoFilter ref="A1:G1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34" customWidth="1" min="9" max="9"/>
    <col width="34" customWidth="1" min="10" max="10"/>
  </cols>
  <sheetData>
    <row r="1" ht="34" customHeight="1">
      <c r="A1" s="12" t="inlineStr">
        <is>
          <t>table</t>
        </is>
      </c>
      <c r="B1" s="12" t="inlineStr">
        <is>
          <t>class_phase</t>
        </is>
      </c>
      <c r="C1" s="12" t="inlineStr">
        <is>
          <t>level</t>
        </is>
      </c>
      <c r="D1" s="12" t="inlineStr">
        <is>
          <t>metric</t>
        </is>
      </c>
      <c r="E1" s="12" t="inlineStr">
        <is>
          <t>operator</t>
        </is>
      </c>
      <c r="F1" s="12" t="inlineStr">
        <is>
          <t>value</t>
        </is>
      </c>
      <c r="G1" s="12" t="inlineStr">
        <is>
          <t>unit</t>
        </is>
      </c>
      <c r="H1" s="12" t="inlineStr">
        <is>
          <t>source_id</t>
        </is>
      </c>
      <c r="I1" s="12" t="inlineStr">
        <is>
          <t>locator</t>
        </is>
      </c>
      <c r="J1" s="12" t="inlineStr">
        <is>
          <t>sampling_use</t>
        </is>
      </c>
    </row>
    <row r="2" ht="48" customHeight="1">
      <c r="A2" s="13" t="inlineStr">
        <is>
          <t>GJB A18</t>
        </is>
      </c>
      <c r="B2" s="13" t="inlineStr">
        <is>
          <t>A:I,IV</t>
        </is>
      </c>
      <c r="C2" s="13" t="n">
        <v>1</v>
      </c>
      <c r="D2" s="13" t="inlineStr">
        <is>
          <t>T_R max recommended</t>
        </is>
      </c>
      <c r="E2" s="13" t="inlineStr">
        <is>
          <t>&lt;=</t>
        </is>
      </c>
      <c r="F2" s="13" t="n">
        <v>1</v>
      </c>
      <c r="G2" s="13" t="inlineStr">
        <is>
          <t>s</t>
        </is>
      </c>
      <c r="H2" s="18" t="inlineStr">
        <is>
          <t>S01</t>
        </is>
      </c>
      <c r="I2" s="13" t="inlineStr">
        <is>
          <t>evidence/GJB_A18_TR_and_p_Fas_LOES.png</t>
        </is>
      </c>
      <c r="J2" s="13" t="inlineStr">
        <is>
          <t>品质标签/边界覆盖；不是采样上限分布</t>
        </is>
      </c>
    </row>
    <row r="3" ht="48" customHeight="1">
      <c r="A3" s="13" t="inlineStr">
        <is>
          <t>GJB A18</t>
        </is>
      </c>
      <c r="B3" s="13" t="inlineStr">
        <is>
          <t>A:I,IV</t>
        </is>
      </c>
      <c r="C3" s="13" t="n">
        <v>2</v>
      </c>
      <c r="D3" s="13" t="inlineStr">
        <is>
          <t>T_R max recommended</t>
        </is>
      </c>
      <c r="E3" s="13" t="inlineStr">
        <is>
          <t>&lt;=</t>
        </is>
      </c>
      <c r="F3" s="13" t="n">
        <v>1.4</v>
      </c>
      <c r="G3" s="13" t="inlineStr">
        <is>
          <t>s</t>
        </is>
      </c>
      <c r="H3" s="18" t="inlineStr">
        <is>
          <t>S01</t>
        </is>
      </c>
      <c r="I3" s="13" t="inlineStr">
        <is>
          <t>evidence/GJB_A18_TR_and_p_Fas_LOES.png</t>
        </is>
      </c>
      <c r="J3" s="13" t="inlineStr">
        <is>
          <t>品质标签/边界覆盖；不是采样上限分布</t>
        </is>
      </c>
    </row>
    <row r="4" ht="48" customHeight="1">
      <c r="A4" s="13" t="inlineStr">
        <is>
          <t>GJB A18</t>
        </is>
      </c>
      <c r="B4" s="13" t="inlineStr">
        <is>
          <t>A:I,IV</t>
        </is>
      </c>
      <c r="C4" s="13" t="n">
        <v>3</v>
      </c>
      <c r="D4" s="13" t="inlineStr">
        <is>
          <t>T_R max recommended</t>
        </is>
      </c>
      <c r="E4" s="13" t="inlineStr">
        <is>
          <t>&lt;=</t>
        </is>
      </c>
      <c r="F4" s="13" t="n">
        <v>10</v>
      </c>
      <c r="G4" s="13" t="inlineStr">
        <is>
          <t>s</t>
        </is>
      </c>
      <c r="H4" s="18" t="inlineStr">
        <is>
          <t>S01</t>
        </is>
      </c>
      <c r="I4" s="13" t="inlineStr">
        <is>
          <t>evidence/GJB_A18_TR_and_p_Fas_LOES.png</t>
        </is>
      </c>
      <c r="J4" s="13" t="inlineStr">
        <is>
          <t>品质标签/边界覆盖；不是采样上限分布</t>
        </is>
      </c>
    </row>
    <row r="5" ht="48" customHeight="1">
      <c r="A5" s="13" t="inlineStr">
        <is>
          <t>GJB A18</t>
        </is>
      </c>
      <c r="B5" s="13" t="inlineStr">
        <is>
          <t>A:II,III</t>
        </is>
      </c>
      <c r="C5" s="13" t="n">
        <v>1</v>
      </c>
      <c r="D5" s="13" t="inlineStr">
        <is>
          <t>T_R max recommended</t>
        </is>
      </c>
      <c r="E5" s="13" t="inlineStr">
        <is>
          <t>&lt;=</t>
        </is>
      </c>
      <c r="F5" s="13" t="n">
        <v>1.4</v>
      </c>
      <c r="G5" s="13" t="inlineStr">
        <is>
          <t>s</t>
        </is>
      </c>
      <c r="H5" s="18" t="inlineStr">
        <is>
          <t>S01</t>
        </is>
      </c>
      <c r="I5" s="13" t="inlineStr">
        <is>
          <t>evidence/GJB_A18_TR_and_p_Fas_LOES.png</t>
        </is>
      </c>
      <c r="J5" s="13" t="inlineStr">
        <is>
          <t>品质标签/边界覆盖；不是采样上限分布</t>
        </is>
      </c>
    </row>
    <row r="6" ht="48" customHeight="1">
      <c r="A6" s="13" t="inlineStr">
        <is>
          <t>GJB A18</t>
        </is>
      </c>
      <c r="B6" s="13" t="inlineStr">
        <is>
          <t>A:II,III</t>
        </is>
      </c>
      <c r="C6" s="13" t="n">
        <v>2</v>
      </c>
      <c r="D6" s="13" t="inlineStr">
        <is>
          <t>T_R max recommended</t>
        </is>
      </c>
      <c r="E6" s="13" t="inlineStr">
        <is>
          <t>&lt;=</t>
        </is>
      </c>
      <c r="F6" s="13" t="n">
        <v>3</v>
      </c>
      <c r="G6" s="13" t="inlineStr">
        <is>
          <t>s</t>
        </is>
      </c>
      <c r="H6" s="18" t="inlineStr">
        <is>
          <t>S01</t>
        </is>
      </c>
      <c r="I6" s="13" t="inlineStr">
        <is>
          <t>evidence/GJB_A18_TR_and_p_Fas_LOES.png</t>
        </is>
      </c>
      <c r="J6" s="13" t="inlineStr">
        <is>
          <t>品质标签/边界覆盖；不是采样上限分布</t>
        </is>
      </c>
    </row>
    <row r="7" ht="48" customHeight="1">
      <c r="A7" s="13" t="inlineStr">
        <is>
          <t>GJB A18</t>
        </is>
      </c>
      <c r="B7" s="13" t="inlineStr">
        <is>
          <t>A:II,III</t>
        </is>
      </c>
      <c r="C7" s="13" t="n">
        <v>3</v>
      </c>
      <c r="D7" s="13" t="inlineStr">
        <is>
          <t>T_R max recommended</t>
        </is>
      </c>
      <c r="E7" s="13" t="inlineStr">
        <is>
          <t>&lt;=</t>
        </is>
      </c>
      <c r="F7" s="13" t="n">
        <v>10</v>
      </c>
      <c r="G7" s="13" t="inlineStr">
        <is>
          <t>s</t>
        </is>
      </c>
      <c r="H7" s="18" t="inlineStr">
        <is>
          <t>S01</t>
        </is>
      </c>
      <c r="I7" s="13" t="inlineStr">
        <is>
          <t>evidence/GJB_A18_TR_and_p_Fas_LOES.png</t>
        </is>
      </c>
      <c r="J7" s="13" t="inlineStr">
        <is>
          <t>品质标签/边界覆盖；不是采样上限分布</t>
        </is>
      </c>
    </row>
    <row r="8" ht="48" customHeight="1">
      <c r="A8" s="13" t="inlineStr">
        <is>
          <t>GJB A18</t>
        </is>
      </c>
      <c r="B8" s="13" t="inlineStr">
        <is>
          <t>B:all</t>
        </is>
      </c>
      <c r="C8" s="13" t="n">
        <v>1</v>
      </c>
      <c r="D8" s="13" t="inlineStr">
        <is>
          <t>T_R max recommended</t>
        </is>
      </c>
      <c r="E8" s="13" t="inlineStr">
        <is>
          <t>&lt;=</t>
        </is>
      </c>
      <c r="F8" s="13" t="n">
        <v>1.4</v>
      </c>
      <c r="G8" s="13" t="inlineStr">
        <is>
          <t>s</t>
        </is>
      </c>
      <c r="H8" s="18" t="inlineStr">
        <is>
          <t>S01</t>
        </is>
      </c>
      <c r="I8" s="13" t="inlineStr">
        <is>
          <t>evidence/GJB_A18_TR_and_p_Fas_LOES.png</t>
        </is>
      </c>
      <c r="J8" s="13" t="inlineStr">
        <is>
          <t>品质标签/边界覆盖；不是采样上限分布</t>
        </is>
      </c>
    </row>
    <row r="9" ht="48" customHeight="1">
      <c r="A9" s="13" t="inlineStr">
        <is>
          <t>GJB A18</t>
        </is>
      </c>
      <c r="B9" s="13" t="inlineStr">
        <is>
          <t>B:all</t>
        </is>
      </c>
      <c r="C9" s="13" t="n">
        <v>2</v>
      </c>
      <c r="D9" s="13" t="inlineStr">
        <is>
          <t>T_R max recommended</t>
        </is>
      </c>
      <c r="E9" s="13" t="inlineStr">
        <is>
          <t>&lt;=</t>
        </is>
      </c>
      <c r="F9" s="13" t="n">
        <v>3</v>
      </c>
      <c r="G9" s="13" t="inlineStr">
        <is>
          <t>s</t>
        </is>
      </c>
      <c r="H9" s="18" t="inlineStr">
        <is>
          <t>S01</t>
        </is>
      </c>
      <c r="I9" s="13" t="inlineStr">
        <is>
          <t>evidence/GJB_A18_TR_and_p_Fas_LOES.png</t>
        </is>
      </c>
      <c r="J9" s="13" t="inlineStr">
        <is>
          <t>品质标签/边界覆盖；不是采样上限分布</t>
        </is>
      </c>
    </row>
    <row r="10" ht="48" customHeight="1">
      <c r="A10" s="13" t="inlineStr">
        <is>
          <t>GJB A18</t>
        </is>
      </c>
      <c r="B10" s="13" t="inlineStr">
        <is>
          <t>B:all</t>
        </is>
      </c>
      <c r="C10" s="13" t="n">
        <v>3</v>
      </c>
      <c r="D10" s="13" t="inlineStr">
        <is>
          <t>T_R max recommended</t>
        </is>
      </c>
      <c r="E10" s="13" t="inlineStr">
        <is>
          <t>&lt;=</t>
        </is>
      </c>
      <c r="F10" s="13" t="n">
        <v>10</v>
      </c>
      <c r="G10" s="13" t="inlineStr">
        <is>
          <t>s</t>
        </is>
      </c>
      <c r="H10" s="18" t="inlineStr">
        <is>
          <t>S01</t>
        </is>
      </c>
      <c r="I10" s="13" t="inlineStr">
        <is>
          <t>evidence/GJB_A18_TR_and_p_Fas_LOES.png</t>
        </is>
      </c>
      <c r="J10" s="13" t="inlineStr">
        <is>
          <t>品质标签/边界覆盖；不是采样上限分布</t>
        </is>
      </c>
    </row>
    <row r="11" ht="48" customHeight="1">
      <c r="A11" s="13" t="inlineStr">
        <is>
          <t>GJB A18</t>
        </is>
      </c>
      <c r="B11" s="13" t="inlineStr">
        <is>
          <t>C:I,II-C,IV</t>
        </is>
      </c>
      <c r="C11" s="13" t="n">
        <v>1</v>
      </c>
      <c r="D11" s="13" t="inlineStr">
        <is>
          <t>T_R max recommended</t>
        </is>
      </c>
      <c r="E11" s="13" t="inlineStr">
        <is>
          <t>&lt;=</t>
        </is>
      </c>
      <c r="F11" s="13" t="n">
        <v>1</v>
      </c>
      <c r="G11" s="13" t="inlineStr">
        <is>
          <t>s</t>
        </is>
      </c>
      <c r="H11" s="18" t="inlineStr">
        <is>
          <t>S01</t>
        </is>
      </c>
      <c r="I11" s="13" t="inlineStr">
        <is>
          <t>evidence/GJB_A18_TR_and_p_Fas_LOES.png</t>
        </is>
      </c>
      <c r="J11" s="13" t="inlineStr">
        <is>
          <t>品质标签/边界覆盖；不是采样上限分布</t>
        </is>
      </c>
    </row>
    <row r="12" ht="48" customHeight="1">
      <c r="A12" s="13" t="inlineStr">
        <is>
          <t>GJB A18</t>
        </is>
      </c>
      <c r="B12" s="13" t="inlineStr">
        <is>
          <t>C:I,II-C,IV</t>
        </is>
      </c>
      <c r="C12" s="13" t="n">
        <v>2</v>
      </c>
      <c r="D12" s="13" t="inlineStr">
        <is>
          <t>T_R max recommended</t>
        </is>
      </c>
      <c r="E12" s="13" t="inlineStr">
        <is>
          <t>&lt;=</t>
        </is>
      </c>
      <c r="F12" s="13" t="n">
        <v>1.4</v>
      </c>
      <c r="G12" s="13" t="inlineStr">
        <is>
          <t>s</t>
        </is>
      </c>
      <c r="H12" s="18" t="inlineStr">
        <is>
          <t>S01</t>
        </is>
      </c>
      <c r="I12" s="13" t="inlineStr">
        <is>
          <t>evidence/GJB_A18_TR_and_p_Fas_LOES.png</t>
        </is>
      </c>
      <c r="J12" s="13" t="inlineStr">
        <is>
          <t>品质标签/边界覆盖；不是采样上限分布</t>
        </is>
      </c>
    </row>
    <row r="13" ht="48" customHeight="1">
      <c r="A13" s="13" t="inlineStr">
        <is>
          <t>GJB A18</t>
        </is>
      </c>
      <c r="B13" s="13" t="inlineStr">
        <is>
          <t>C:I,II-C,IV</t>
        </is>
      </c>
      <c r="C13" s="13" t="n">
        <v>3</v>
      </c>
      <c r="D13" s="13" t="inlineStr">
        <is>
          <t>T_R max recommended</t>
        </is>
      </c>
      <c r="E13" s="13" t="inlineStr">
        <is>
          <t>&lt;=</t>
        </is>
      </c>
      <c r="F13" s="13" t="n">
        <v>10</v>
      </c>
      <c r="G13" s="13" t="inlineStr">
        <is>
          <t>s</t>
        </is>
      </c>
      <c r="H13" s="18" t="inlineStr">
        <is>
          <t>S01</t>
        </is>
      </c>
      <c r="I13" s="13" t="inlineStr">
        <is>
          <t>evidence/GJB_A18_TR_and_p_Fas_LOES.png</t>
        </is>
      </c>
      <c r="J13" s="13" t="inlineStr">
        <is>
          <t>品质标签/边界覆盖；不是采样上限分布</t>
        </is>
      </c>
    </row>
    <row r="14" ht="48" customHeight="1">
      <c r="A14" s="13" t="inlineStr">
        <is>
          <t>GJB A18</t>
        </is>
      </c>
      <c r="B14" s="13" t="inlineStr">
        <is>
          <t>C:II-L,III</t>
        </is>
      </c>
      <c r="C14" s="13" t="n">
        <v>1</v>
      </c>
      <c r="D14" s="13" t="inlineStr">
        <is>
          <t>T_R max recommended</t>
        </is>
      </c>
      <c r="E14" s="13" t="inlineStr">
        <is>
          <t>&lt;=</t>
        </is>
      </c>
      <c r="F14" s="13" t="n">
        <v>1.4</v>
      </c>
      <c r="G14" s="13" t="inlineStr">
        <is>
          <t>s</t>
        </is>
      </c>
      <c r="H14" s="18" t="inlineStr">
        <is>
          <t>S01</t>
        </is>
      </c>
      <c r="I14" s="13" t="inlineStr">
        <is>
          <t>evidence/GJB_A18_TR_and_p_Fas_LOES.png</t>
        </is>
      </c>
      <c r="J14" s="13" t="inlineStr">
        <is>
          <t>品质标签/边界覆盖；不是采样上限分布</t>
        </is>
      </c>
    </row>
    <row r="15" ht="48" customHeight="1">
      <c r="A15" s="13" t="inlineStr">
        <is>
          <t>GJB A18</t>
        </is>
      </c>
      <c r="B15" s="13" t="inlineStr">
        <is>
          <t>C:II-L,III</t>
        </is>
      </c>
      <c r="C15" s="13" t="n">
        <v>2</v>
      </c>
      <c r="D15" s="13" t="inlineStr">
        <is>
          <t>T_R max recommended</t>
        </is>
      </c>
      <c r="E15" s="13" t="inlineStr">
        <is>
          <t>&lt;=</t>
        </is>
      </c>
      <c r="F15" s="13" t="n">
        <v>3</v>
      </c>
      <c r="G15" s="13" t="inlineStr">
        <is>
          <t>s</t>
        </is>
      </c>
      <c r="H15" s="18" t="inlineStr">
        <is>
          <t>S01</t>
        </is>
      </c>
      <c r="I15" s="13" t="inlineStr">
        <is>
          <t>evidence/GJB_A18_TR_and_p_Fas_LOES.png</t>
        </is>
      </c>
      <c r="J15" s="13" t="inlineStr">
        <is>
          <t>品质标签/边界覆盖；不是采样上限分布</t>
        </is>
      </c>
    </row>
    <row r="16" ht="48" customHeight="1">
      <c r="A16" s="13" t="inlineStr">
        <is>
          <t>GJB A18</t>
        </is>
      </c>
      <c r="B16" s="13" t="inlineStr">
        <is>
          <t>C:II-L,III</t>
        </is>
      </c>
      <c r="C16" s="13" t="n">
        <v>3</v>
      </c>
      <c r="D16" s="13" t="inlineStr">
        <is>
          <t>T_R max recommended</t>
        </is>
      </c>
      <c r="E16" s="13" t="inlineStr">
        <is>
          <t>&lt;=</t>
        </is>
      </c>
      <c r="F16" s="13" t="n">
        <v>10</v>
      </c>
      <c r="G16" s="13" t="inlineStr">
        <is>
          <t>s</t>
        </is>
      </c>
      <c r="H16" s="18" t="inlineStr">
        <is>
          <t>S01</t>
        </is>
      </c>
      <c r="I16" s="13" t="inlineStr">
        <is>
          <t>evidence/GJB_A18_TR_and_p_Fas_LOES.png</t>
        </is>
      </c>
      <c r="J16" s="13" t="inlineStr">
        <is>
          <t>品质标签/边界覆盖；不是采样上限分布</t>
        </is>
      </c>
    </row>
    <row r="17" ht="48" customHeight="1">
      <c r="A17" s="13" t="inlineStr">
        <is>
          <t>GJB A19</t>
        </is>
      </c>
      <c r="B17" s="13" t="inlineStr">
        <is>
          <t>A,C</t>
        </is>
      </c>
      <c r="C17" s="13" t="n">
        <v>1</v>
      </c>
      <c r="D17" s="13" t="inlineStr">
        <is>
          <t>divergent spiral time-to-double min</t>
        </is>
      </c>
      <c r="E17" s="13" t="inlineStr">
        <is>
          <t>&gt;=</t>
        </is>
      </c>
      <c r="F17" s="13" t="n">
        <v>12</v>
      </c>
      <c r="G17" s="13" t="inlineStr">
        <is>
          <t>s</t>
        </is>
      </c>
      <c r="H17" s="18" t="inlineStr">
        <is>
          <t>S01</t>
        </is>
      </c>
      <c r="I17" s="13" t="inlineStr">
        <is>
          <t>evidence/GJB_A19_spiral.png</t>
        </is>
      </c>
      <c r="J17" s="13" t="inlineStr">
        <is>
          <t>先采T2再换算lambda_s=ln2/T2</t>
        </is>
      </c>
    </row>
    <row r="18" ht="48" customHeight="1">
      <c r="A18" s="13" t="inlineStr">
        <is>
          <t>GJB A19</t>
        </is>
      </c>
      <c r="B18" s="13" t="inlineStr">
        <is>
          <t>A,C</t>
        </is>
      </c>
      <c r="C18" s="13" t="n">
        <v>2</v>
      </c>
      <c r="D18" s="13" t="inlineStr">
        <is>
          <t>divergent spiral time-to-double min</t>
        </is>
      </c>
      <c r="E18" s="13" t="inlineStr">
        <is>
          <t>&gt;=</t>
        </is>
      </c>
      <c r="F18" s="13" t="n">
        <v>8</v>
      </c>
      <c r="G18" s="13" t="inlineStr">
        <is>
          <t>s</t>
        </is>
      </c>
      <c r="H18" s="18" t="inlineStr">
        <is>
          <t>S01</t>
        </is>
      </c>
      <c r="I18" s="13" t="inlineStr">
        <is>
          <t>evidence/GJB_A19_spiral.png</t>
        </is>
      </c>
      <c r="J18" s="13" t="inlineStr">
        <is>
          <t>先采T2再换算lambda_s=ln2/T2</t>
        </is>
      </c>
    </row>
    <row r="19" ht="48" customHeight="1">
      <c r="A19" s="13" t="inlineStr">
        <is>
          <t>GJB A19</t>
        </is>
      </c>
      <c r="B19" s="13" t="inlineStr">
        <is>
          <t>A,C</t>
        </is>
      </c>
      <c r="C19" s="13" t="n">
        <v>3</v>
      </c>
      <c r="D19" s="13" t="inlineStr">
        <is>
          <t>divergent spiral time-to-double min</t>
        </is>
      </c>
      <c r="E19" s="13" t="inlineStr">
        <is>
          <t>&gt;=</t>
        </is>
      </c>
      <c r="F19" s="13" t="n">
        <v>4</v>
      </c>
      <c r="G19" s="13" t="inlineStr">
        <is>
          <t>s</t>
        </is>
      </c>
      <c r="H19" s="18" t="inlineStr">
        <is>
          <t>S01</t>
        </is>
      </c>
      <c r="I19" s="13" t="inlineStr">
        <is>
          <t>evidence/GJB_A19_spiral.png</t>
        </is>
      </c>
      <c r="J19" s="13" t="inlineStr">
        <is>
          <t>先采T2再换算lambda_s=ln2/T2</t>
        </is>
      </c>
    </row>
    <row r="20" ht="48" customHeight="1">
      <c r="A20" s="13" t="inlineStr">
        <is>
          <t>GJB A19</t>
        </is>
      </c>
      <c r="B20" s="13" t="inlineStr">
        <is>
          <t>B</t>
        </is>
      </c>
      <c r="C20" s="13" t="n">
        <v>1</v>
      </c>
      <c r="D20" s="13" t="inlineStr">
        <is>
          <t>divergent spiral time-to-double min</t>
        </is>
      </c>
      <c r="E20" s="13" t="inlineStr">
        <is>
          <t>&gt;=</t>
        </is>
      </c>
      <c r="F20" s="13" t="n">
        <v>20</v>
      </c>
      <c r="G20" s="13" t="inlineStr">
        <is>
          <t>s</t>
        </is>
      </c>
      <c r="H20" s="18" t="inlineStr">
        <is>
          <t>S01</t>
        </is>
      </c>
      <c r="I20" s="13" t="inlineStr">
        <is>
          <t>evidence/GJB_A19_spiral.png</t>
        </is>
      </c>
      <c r="J20" s="13" t="inlineStr">
        <is>
          <t>先采T2再换算lambda_s=ln2/T2</t>
        </is>
      </c>
    </row>
    <row r="21" ht="48" customHeight="1">
      <c r="A21" s="13" t="inlineStr">
        <is>
          <t>GJB A19</t>
        </is>
      </c>
      <c r="B21" s="13" t="inlineStr">
        <is>
          <t>B</t>
        </is>
      </c>
      <c r="C21" s="13" t="n">
        <v>2</v>
      </c>
      <c r="D21" s="13" t="inlineStr">
        <is>
          <t>divergent spiral time-to-double min</t>
        </is>
      </c>
      <c r="E21" s="13" t="inlineStr">
        <is>
          <t>&gt;=</t>
        </is>
      </c>
      <c r="F21" s="13" t="n">
        <v>8</v>
      </c>
      <c r="G21" s="13" t="inlineStr">
        <is>
          <t>s</t>
        </is>
      </c>
      <c r="H21" s="18" t="inlineStr">
        <is>
          <t>S01</t>
        </is>
      </c>
      <c r="I21" s="13" t="inlineStr">
        <is>
          <t>evidence/GJB_A19_spiral.png</t>
        </is>
      </c>
      <c r="J21" s="13" t="inlineStr">
        <is>
          <t>先采T2再换算lambda_s=ln2/T2</t>
        </is>
      </c>
    </row>
    <row r="22" ht="48" customHeight="1">
      <c r="A22" s="13" t="inlineStr">
        <is>
          <t>GJB A19</t>
        </is>
      </c>
      <c r="B22" s="13" t="inlineStr">
        <is>
          <t>B</t>
        </is>
      </c>
      <c r="C22" s="13" t="n">
        <v>3</v>
      </c>
      <c r="D22" s="13" t="inlineStr">
        <is>
          <t>divergent spiral time-to-double min</t>
        </is>
      </c>
      <c r="E22" s="13" t="inlineStr">
        <is>
          <t>&gt;=</t>
        </is>
      </c>
      <c r="F22" s="13" t="n">
        <v>4</v>
      </c>
      <c r="G22" s="13" t="inlineStr">
        <is>
          <t>s</t>
        </is>
      </c>
      <c r="H22" s="18" t="inlineStr">
        <is>
          <t>S01</t>
        </is>
      </c>
      <c r="I22" s="13" t="inlineStr">
        <is>
          <t>evidence/GJB_A19_spiral.png</t>
        </is>
      </c>
      <c r="J22" s="13" t="inlineStr">
        <is>
          <t>先采T2再换算lambda_s=ln2/T2</t>
        </is>
      </c>
    </row>
    <row r="23" ht="48" customHeight="1">
      <c r="A23" s="13" t="inlineStr">
        <is>
          <t>GJB A35</t>
        </is>
      </c>
      <c r="B23" s="13" t="inlineStr">
        <is>
          <t>A(CO/GA):IV</t>
        </is>
      </c>
      <c r="C23" s="13" t="n">
        <v>1</v>
      </c>
      <c r="D23" s="13" t="inlineStr">
        <is>
          <t>zeta_d min</t>
        </is>
      </c>
      <c r="E23" s="13" t="inlineStr">
        <is>
          <t>&gt;=</t>
        </is>
      </c>
      <c r="F23" s="13" t="n">
        <v>0.4</v>
      </c>
      <c r="G23" s="13" t="inlineStr">
        <is>
          <t>1</t>
        </is>
      </c>
      <c r="H23" s="18" t="inlineStr">
        <is>
          <t>S01</t>
        </is>
      </c>
      <c r="I23" s="13" t="inlineStr">
        <is>
          <t>evidence/GJB_A35_Dutch_roll.png</t>
        </is>
      </c>
      <c r="J23" s="13" t="inlineStr">
        <is>
          <t>联合检查；不能只检查zeta_d</t>
        </is>
      </c>
    </row>
    <row r="24" ht="48" customHeight="1">
      <c r="A24" s="13" t="inlineStr">
        <is>
          <t>GJB A35</t>
        </is>
      </c>
      <c r="B24" s="13" t="inlineStr">
        <is>
          <t>A(CO/GA):IV</t>
        </is>
      </c>
      <c r="C24" s="13" t="n">
        <v>1</v>
      </c>
      <c r="D24" s="13" t="inlineStr">
        <is>
          <t>zeta_d*omega_d min</t>
        </is>
      </c>
      <c r="E24" s="13" t="inlineStr">
        <is>
          <t>&gt;=</t>
        </is>
      </c>
      <c r="F24" s="13" t="n">
        <v>0.4</v>
      </c>
      <c r="G24" s="13" t="inlineStr">
        <is>
          <t>rad/s</t>
        </is>
      </c>
      <c r="H24" s="18" t="inlineStr">
        <is>
          <t>S01</t>
        </is>
      </c>
      <c r="I24" s="13" t="inlineStr">
        <is>
          <t>evidence/GJB_A35_Dutch_roll.png</t>
        </is>
      </c>
      <c r="J24" s="13" t="inlineStr">
        <is>
          <t>联合检查；不能只检查zeta_d</t>
        </is>
      </c>
    </row>
    <row r="25" ht="48" customHeight="1">
      <c r="A25" s="13" t="inlineStr">
        <is>
          <t>GJB A35</t>
        </is>
      </c>
      <c r="B25" s="13" t="inlineStr">
        <is>
          <t>A(CO/GA):IV</t>
        </is>
      </c>
      <c r="C25" s="13" t="n">
        <v>1</v>
      </c>
      <c r="D25" s="13" t="inlineStr">
        <is>
          <t>omega_d min</t>
        </is>
      </c>
      <c r="E25" s="13" t="inlineStr">
        <is>
          <t>&gt;=</t>
        </is>
      </c>
      <c r="F25" s="13" t="n">
        <v>1</v>
      </c>
      <c r="G25" s="13" t="inlineStr">
        <is>
          <t>rad/s</t>
        </is>
      </c>
      <c r="H25" s="18" t="inlineStr">
        <is>
          <t>S01</t>
        </is>
      </c>
      <c r="I25" s="13" t="inlineStr">
        <is>
          <t>evidence/GJB_A35_Dutch_roll.png</t>
        </is>
      </c>
      <c r="J25" s="13" t="inlineStr">
        <is>
          <t>联合检查；不能只检查zeta_d</t>
        </is>
      </c>
    </row>
    <row r="26" ht="48" customHeight="1">
      <c r="A26" s="13" t="inlineStr">
        <is>
          <t>GJB A35</t>
        </is>
      </c>
      <c r="B26" s="13" t="inlineStr">
        <is>
          <t>A:I,IV</t>
        </is>
      </c>
      <c r="C26" s="13" t="n">
        <v>1</v>
      </c>
      <c r="D26" s="13" t="inlineStr">
        <is>
          <t>zeta_d min</t>
        </is>
      </c>
      <c r="E26" s="13" t="inlineStr">
        <is>
          <t>&gt;=</t>
        </is>
      </c>
      <c r="F26" s="13" t="n">
        <v>0.19</v>
      </c>
      <c r="G26" s="13" t="inlineStr">
        <is>
          <t>1</t>
        </is>
      </c>
      <c r="H26" s="18" t="inlineStr">
        <is>
          <t>S01</t>
        </is>
      </c>
      <c r="I26" s="13" t="inlineStr">
        <is>
          <t>evidence/GJB_A35_Dutch_roll.png</t>
        </is>
      </c>
      <c r="J26" s="13" t="inlineStr">
        <is>
          <t>联合检查；不能只检查zeta_d</t>
        </is>
      </c>
    </row>
    <row r="27" ht="48" customHeight="1">
      <c r="A27" s="13" t="inlineStr">
        <is>
          <t>GJB A35</t>
        </is>
      </c>
      <c r="B27" s="13" t="inlineStr">
        <is>
          <t>A:I,IV</t>
        </is>
      </c>
      <c r="C27" s="13" t="n">
        <v>1</v>
      </c>
      <c r="D27" s="13" t="inlineStr">
        <is>
          <t>zeta_d*omega_d min</t>
        </is>
      </c>
      <c r="E27" s="13" t="inlineStr">
        <is>
          <t>&gt;=</t>
        </is>
      </c>
      <c r="F27" s="13" t="n">
        <v>0.35</v>
      </c>
      <c r="G27" s="13" t="inlineStr">
        <is>
          <t>rad/s</t>
        </is>
      </c>
      <c r="H27" s="18" t="inlineStr">
        <is>
          <t>S01</t>
        </is>
      </c>
      <c r="I27" s="13" t="inlineStr">
        <is>
          <t>evidence/GJB_A35_Dutch_roll.png</t>
        </is>
      </c>
      <c r="J27" s="13" t="inlineStr">
        <is>
          <t>联合检查；不能只检查zeta_d</t>
        </is>
      </c>
    </row>
    <row r="28" ht="48" customHeight="1">
      <c r="A28" s="13" t="inlineStr">
        <is>
          <t>GJB A35</t>
        </is>
      </c>
      <c r="B28" s="13" t="inlineStr">
        <is>
          <t>A:I,IV</t>
        </is>
      </c>
      <c r="C28" s="13" t="n">
        <v>1</v>
      </c>
      <c r="D28" s="13" t="inlineStr">
        <is>
          <t>omega_d min</t>
        </is>
      </c>
      <c r="E28" s="13" t="inlineStr">
        <is>
          <t>&gt;=</t>
        </is>
      </c>
      <c r="F28" s="13" t="n">
        <v>1</v>
      </c>
      <c r="G28" s="13" t="inlineStr">
        <is>
          <t>rad/s</t>
        </is>
      </c>
      <c r="H28" s="18" t="inlineStr">
        <is>
          <t>S01</t>
        </is>
      </c>
      <c r="I28" s="13" t="inlineStr">
        <is>
          <t>evidence/GJB_A35_Dutch_roll.png</t>
        </is>
      </c>
      <c r="J28" s="13" t="inlineStr">
        <is>
          <t>联合检查；不能只检查zeta_d</t>
        </is>
      </c>
    </row>
    <row r="29" ht="48" customHeight="1">
      <c r="A29" s="13" t="inlineStr">
        <is>
          <t>GJB A35</t>
        </is>
      </c>
      <c r="B29" s="13" t="inlineStr">
        <is>
          <t>A:II,III</t>
        </is>
      </c>
      <c r="C29" s="13" t="n">
        <v>1</v>
      </c>
      <c r="D29" s="13" t="inlineStr">
        <is>
          <t>zeta_d min</t>
        </is>
      </c>
      <c r="E29" s="13" t="inlineStr">
        <is>
          <t>&gt;=</t>
        </is>
      </c>
      <c r="F29" s="13" t="n">
        <v>0.19</v>
      </c>
      <c r="G29" s="13" t="inlineStr">
        <is>
          <t>1</t>
        </is>
      </c>
      <c r="H29" s="18" t="inlineStr">
        <is>
          <t>S01</t>
        </is>
      </c>
      <c r="I29" s="13" t="inlineStr">
        <is>
          <t>evidence/GJB_A35_Dutch_roll.png</t>
        </is>
      </c>
      <c r="J29" s="13" t="inlineStr">
        <is>
          <t>联合检查；不能只检查zeta_d</t>
        </is>
      </c>
    </row>
    <row r="30" ht="48" customHeight="1">
      <c r="A30" s="13" t="inlineStr">
        <is>
          <t>GJB A35</t>
        </is>
      </c>
      <c r="B30" s="13" t="inlineStr">
        <is>
          <t>A:II,III</t>
        </is>
      </c>
      <c r="C30" s="13" t="n">
        <v>1</v>
      </c>
      <c r="D30" s="13" t="inlineStr">
        <is>
          <t>zeta_d*omega_d min</t>
        </is>
      </c>
      <c r="E30" s="13" t="inlineStr">
        <is>
          <t>&gt;=</t>
        </is>
      </c>
      <c r="F30" s="13" t="n">
        <v>0.35</v>
      </c>
      <c r="G30" s="13" t="inlineStr">
        <is>
          <t>rad/s</t>
        </is>
      </c>
      <c r="H30" s="18" t="inlineStr">
        <is>
          <t>S01</t>
        </is>
      </c>
      <c r="I30" s="13" t="inlineStr">
        <is>
          <t>evidence/GJB_A35_Dutch_roll.png</t>
        </is>
      </c>
      <c r="J30" s="13" t="inlineStr">
        <is>
          <t>联合检查；不能只检查zeta_d</t>
        </is>
      </c>
    </row>
    <row r="31" ht="48" customHeight="1">
      <c r="A31" s="13" t="inlineStr">
        <is>
          <t>GJB A35</t>
        </is>
      </c>
      <c r="B31" s="13" t="inlineStr">
        <is>
          <t>A:II,III</t>
        </is>
      </c>
      <c r="C31" s="13" t="n">
        <v>1</v>
      </c>
      <c r="D31" s="13" t="inlineStr">
        <is>
          <t>omega_d min</t>
        </is>
      </c>
      <c r="E31" s="13" t="inlineStr">
        <is>
          <t>&gt;=</t>
        </is>
      </c>
      <c r="F31" s="13" t="n">
        <v>0.4</v>
      </c>
      <c r="G31" s="13" t="inlineStr">
        <is>
          <t>rad/s</t>
        </is>
      </c>
      <c r="H31" s="18" t="inlineStr">
        <is>
          <t>S01</t>
        </is>
      </c>
      <c r="I31" s="13" t="inlineStr">
        <is>
          <t>evidence/GJB_A35_Dutch_roll.png</t>
        </is>
      </c>
      <c r="J31" s="13" t="inlineStr">
        <is>
          <t>联合检查；不能只检查zeta_d</t>
        </is>
      </c>
    </row>
    <row r="32" ht="48" customHeight="1">
      <c r="A32" s="13" t="inlineStr">
        <is>
          <t>GJB A35</t>
        </is>
      </c>
      <c r="B32" s="13" t="inlineStr">
        <is>
          <t>B:all</t>
        </is>
      </c>
      <c r="C32" s="13" t="n">
        <v>1</v>
      </c>
      <c r="D32" s="13" t="inlineStr">
        <is>
          <t>zeta_d min</t>
        </is>
      </c>
      <c r="E32" s="13" t="inlineStr">
        <is>
          <t>&gt;=</t>
        </is>
      </c>
      <c r="F32" s="13" t="n">
        <v>0.08</v>
      </c>
      <c r="G32" s="13" t="inlineStr">
        <is>
          <t>1</t>
        </is>
      </c>
      <c r="H32" s="18" t="inlineStr">
        <is>
          <t>S01</t>
        </is>
      </c>
      <c r="I32" s="13" t="inlineStr">
        <is>
          <t>evidence/GJB_A35_Dutch_roll.png</t>
        </is>
      </c>
      <c r="J32" s="13" t="inlineStr">
        <is>
          <t>联合检查；不能只检查zeta_d</t>
        </is>
      </c>
    </row>
    <row r="33" ht="48" customHeight="1">
      <c r="A33" s="13" t="inlineStr">
        <is>
          <t>GJB A35</t>
        </is>
      </c>
      <c r="B33" s="13" t="inlineStr">
        <is>
          <t>B:all</t>
        </is>
      </c>
      <c r="C33" s="13" t="n">
        <v>1</v>
      </c>
      <c r="D33" s="13" t="inlineStr">
        <is>
          <t>zeta_d*omega_d min</t>
        </is>
      </c>
      <c r="E33" s="13" t="inlineStr">
        <is>
          <t>&gt;=</t>
        </is>
      </c>
      <c r="F33" s="13" t="n">
        <v>0.15</v>
      </c>
      <c r="G33" s="13" t="inlineStr">
        <is>
          <t>rad/s</t>
        </is>
      </c>
      <c r="H33" s="18" t="inlineStr">
        <is>
          <t>S01</t>
        </is>
      </c>
      <c r="I33" s="13" t="inlineStr">
        <is>
          <t>evidence/GJB_A35_Dutch_roll.png</t>
        </is>
      </c>
      <c r="J33" s="13" t="inlineStr">
        <is>
          <t>联合检查；不能只检查zeta_d</t>
        </is>
      </c>
    </row>
    <row r="34" ht="48" customHeight="1">
      <c r="A34" s="13" t="inlineStr">
        <is>
          <t>GJB A35</t>
        </is>
      </c>
      <c r="B34" s="13" t="inlineStr">
        <is>
          <t>B:all</t>
        </is>
      </c>
      <c r="C34" s="13" t="n">
        <v>1</v>
      </c>
      <c r="D34" s="13" t="inlineStr">
        <is>
          <t>omega_d min</t>
        </is>
      </c>
      <c r="E34" s="13" t="inlineStr">
        <is>
          <t>&gt;=</t>
        </is>
      </c>
      <c r="F34" s="13" t="n">
        <v>0.4</v>
      </c>
      <c r="G34" s="13" t="inlineStr">
        <is>
          <t>rad/s</t>
        </is>
      </c>
      <c r="H34" s="18" t="inlineStr">
        <is>
          <t>S01</t>
        </is>
      </c>
      <c r="I34" s="13" t="inlineStr">
        <is>
          <t>evidence/GJB_A35_Dutch_roll.png</t>
        </is>
      </c>
      <c r="J34" s="13" t="inlineStr">
        <is>
          <t>联合检查；不能只检查zeta_d</t>
        </is>
      </c>
    </row>
    <row r="35" ht="48" customHeight="1">
      <c r="A35" s="13" t="inlineStr">
        <is>
          <t>GJB A35</t>
        </is>
      </c>
      <c r="B35" s="13" t="inlineStr">
        <is>
          <t>C:I,II-C,IV</t>
        </is>
      </c>
      <c r="C35" s="13" t="n">
        <v>1</v>
      </c>
      <c r="D35" s="13" t="inlineStr">
        <is>
          <t>zeta_d min</t>
        </is>
      </c>
      <c r="E35" s="13" t="inlineStr">
        <is>
          <t>&gt;=</t>
        </is>
      </c>
      <c r="F35" s="13" t="n">
        <v>0.08</v>
      </c>
      <c r="G35" s="13" t="inlineStr">
        <is>
          <t>1</t>
        </is>
      </c>
      <c r="H35" s="18" t="inlineStr">
        <is>
          <t>S01</t>
        </is>
      </c>
      <c r="I35" s="13" t="inlineStr">
        <is>
          <t>evidence/GJB_A35_Dutch_roll.png</t>
        </is>
      </c>
      <c r="J35" s="13" t="inlineStr">
        <is>
          <t>联合检查；不能只检查zeta_d</t>
        </is>
      </c>
    </row>
    <row r="36" ht="48" customHeight="1">
      <c r="A36" s="13" t="inlineStr">
        <is>
          <t>GJB A35</t>
        </is>
      </c>
      <c r="B36" s="13" t="inlineStr">
        <is>
          <t>C:I,II-C,IV</t>
        </is>
      </c>
      <c r="C36" s="13" t="n">
        <v>1</v>
      </c>
      <c r="D36" s="13" t="inlineStr">
        <is>
          <t>zeta_d*omega_d min</t>
        </is>
      </c>
      <c r="E36" s="13" t="inlineStr">
        <is>
          <t>&gt;=</t>
        </is>
      </c>
      <c r="F36" s="13" t="n">
        <v>0.15</v>
      </c>
      <c r="G36" s="13" t="inlineStr">
        <is>
          <t>rad/s</t>
        </is>
      </c>
      <c r="H36" s="18" t="inlineStr">
        <is>
          <t>S01</t>
        </is>
      </c>
      <c r="I36" s="13" t="inlineStr">
        <is>
          <t>evidence/GJB_A35_Dutch_roll.png</t>
        </is>
      </c>
      <c r="J36" s="13" t="inlineStr">
        <is>
          <t>联合检查；不能只检查zeta_d</t>
        </is>
      </c>
    </row>
    <row r="37" ht="48" customHeight="1">
      <c r="A37" s="13" t="inlineStr">
        <is>
          <t>GJB A35</t>
        </is>
      </c>
      <c r="B37" s="13" t="inlineStr">
        <is>
          <t>C:I,II-C,IV</t>
        </is>
      </c>
      <c r="C37" s="13" t="n">
        <v>1</v>
      </c>
      <c r="D37" s="13" t="inlineStr">
        <is>
          <t>omega_d min</t>
        </is>
      </c>
      <c r="E37" s="13" t="inlineStr">
        <is>
          <t>&gt;=</t>
        </is>
      </c>
      <c r="F37" s="13" t="n">
        <v>1</v>
      </c>
      <c r="G37" s="13" t="inlineStr">
        <is>
          <t>rad/s</t>
        </is>
      </c>
      <c r="H37" s="18" t="inlineStr">
        <is>
          <t>S01</t>
        </is>
      </c>
      <c r="I37" s="13" t="inlineStr">
        <is>
          <t>evidence/GJB_A35_Dutch_roll.png</t>
        </is>
      </c>
      <c r="J37" s="13" t="inlineStr">
        <is>
          <t>联合检查；不能只检查zeta_d</t>
        </is>
      </c>
    </row>
    <row r="38" ht="48" customHeight="1">
      <c r="A38" s="13" t="inlineStr">
        <is>
          <t>GJB A35</t>
        </is>
      </c>
      <c r="B38" s="13" t="inlineStr">
        <is>
          <t>C:II-L,III</t>
        </is>
      </c>
      <c r="C38" s="13" t="n">
        <v>1</v>
      </c>
      <c r="D38" s="13" t="inlineStr">
        <is>
          <t>zeta_d min</t>
        </is>
      </c>
      <c r="E38" s="13" t="inlineStr">
        <is>
          <t>&gt;=</t>
        </is>
      </c>
      <c r="F38" s="13" t="n">
        <v>0.08</v>
      </c>
      <c r="G38" s="13" t="inlineStr">
        <is>
          <t>1</t>
        </is>
      </c>
      <c r="H38" s="18" t="inlineStr">
        <is>
          <t>S01</t>
        </is>
      </c>
      <c r="I38" s="13" t="inlineStr">
        <is>
          <t>evidence/GJB_A35_Dutch_roll.png</t>
        </is>
      </c>
      <c r="J38" s="13" t="inlineStr">
        <is>
          <t>联合检查；不能只检查zeta_d</t>
        </is>
      </c>
    </row>
    <row r="39" ht="48" customHeight="1">
      <c r="A39" s="13" t="inlineStr">
        <is>
          <t>GJB A35</t>
        </is>
      </c>
      <c r="B39" s="13" t="inlineStr">
        <is>
          <t>C:II-L,III</t>
        </is>
      </c>
      <c r="C39" s="13" t="n">
        <v>1</v>
      </c>
      <c r="D39" s="13" t="inlineStr">
        <is>
          <t>zeta_d*omega_d min</t>
        </is>
      </c>
      <c r="E39" s="13" t="inlineStr">
        <is>
          <t>&gt;=</t>
        </is>
      </c>
      <c r="F39" s="13" t="n">
        <v>0.1</v>
      </c>
      <c r="G39" s="13" t="inlineStr">
        <is>
          <t>rad/s</t>
        </is>
      </c>
      <c r="H39" s="18" t="inlineStr">
        <is>
          <t>S01</t>
        </is>
      </c>
      <c r="I39" s="13" t="inlineStr">
        <is>
          <t>evidence/GJB_A35_Dutch_roll.png</t>
        </is>
      </c>
      <c r="J39" s="13" t="inlineStr">
        <is>
          <t>联合检查；不能只检查zeta_d</t>
        </is>
      </c>
    </row>
    <row r="40" ht="48" customHeight="1">
      <c r="A40" s="13" t="inlineStr">
        <is>
          <t>GJB A35</t>
        </is>
      </c>
      <c r="B40" s="13" t="inlineStr">
        <is>
          <t>C:II-L,III</t>
        </is>
      </c>
      <c r="C40" s="13" t="n">
        <v>1</v>
      </c>
      <c r="D40" s="13" t="inlineStr">
        <is>
          <t>omega_d min</t>
        </is>
      </c>
      <c r="E40" s="13" t="inlineStr">
        <is>
          <t>&gt;=</t>
        </is>
      </c>
      <c r="F40" s="13" t="n">
        <v>0.4</v>
      </c>
      <c r="G40" s="13" t="inlineStr">
        <is>
          <t>rad/s</t>
        </is>
      </c>
      <c r="H40" s="18" t="inlineStr">
        <is>
          <t>S01</t>
        </is>
      </c>
      <c r="I40" s="13" t="inlineStr">
        <is>
          <t>evidence/GJB_A35_Dutch_roll.png</t>
        </is>
      </c>
      <c r="J40" s="13" t="inlineStr">
        <is>
          <t>联合检查；不能只检查zeta_d</t>
        </is>
      </c>
    </row>
    <row r="41" ht="48" customHeight="1">
      <c r="A41" s="13" t="inlineStr">
        <is>
          <t>GJB A35</t>
        </is>
      </c>
      <c r="B41" s="13" t="inlineStr">
        <is>
          <t>all</t>
        </is>
      </c>
      <c r="C41" s="13" t="n">
        <v>2</v>
      </c>
      <c r="D41" s="13" t="inlineStr">
        <is>
          <t>zeta_d min</t>
        </is>
      </c>
      <c r="E41" s="13" t="inlineStr">
        <is>
          <t>&gt;=</t>
        </is>
      </c>
      <c r="F41" s="13" t="n">
        <v>0.02</v>
      </c>
      <c r="G41" s="13" t="inlineStr">
        <is>
          <t>1</t>
        </is>
      </c>
      <c r="H41" s="18" t="inlineStr">
        <is>
          <t>S01</t>
        </is>
      </c>
      <c r="I41" s="13" t="inlineStr">
        <is>
          <t>evidence/GJB_A35_Dutch_roll.png</t>
        </is>
      </c>
      <c r="J41" s="13" t="inlineStr">
        <is>
          <t>联合检查；不能只检查zeta_d</t>
        </is>
      </c>
    </row>
    <row r="42" ht="48" customHeight="1">
      <c r="A42" s="13" t="inlineStr">
        <is>
          <t>GJB A35</t>
        </is>
      </c>
      <c r="B42" s="13" t="inlineStr">
        <is>
          <t>all</t>
        </is>
      </c>
      <c r="C42" s="13" t="n">
        <v>2</v>
      </c>
      <c r="D42" s="13" t="inlineStr">
        <is>
          <t>zeta_d*omega_d min</t>
        </is>
      </c>
      <c r="E42" s="13" t="inlineStr">
        <is>
          <t>&gt;=</t>
        </is>
      </c>
      <c r="F42" s="13" t="n">
        <v>0.05</v>
      </c>
      <c r="G42" s="13" t="inlineStr">
        <is>
          <t>rad/s</t>
        </is>
      </c>
      <c r="H42" s="18" t="inlineStr">
        <is>
          <t>S01</t>
        </is>
      </c>
      <c r="I42" s="13" t="inlineStr">
        <is>
          <t>evidence/GJB_A35_Dutch_roll.png</t>
        </is>
      </c>
      <c r="J42" s="13" t="inlineStr">
        <is>
          <t>联合检查；不能只检查zeta_d</t>
        </is>
      </c>
    </row>
    <row r="43" ht="48" customHeight="1">
      <c r="A43" s="13" t="inlineStr">
        <is>
          <t>GJB A35</t>
        </is>
      </c>
      <c r="B43" s="13" t="inlineStr">
        <is>
          <t>all</t>
        </is>
      </c>
      <c r="C43" s="13" t="n">
        <v>2</v>
      </c>
      <c r="D43" s="13" t="inlineStr">
        <is>
          <t>omega_d min</t>
        </is>
      </c>
      <c r="E43" s="13" t="inlineStr">
        <is>
          <t>&gt;=</t>
        </is>
      </c>
      <c r="F43" s="13" t="n">
        <v>0.4</v>
      </c>
      <c r="G43" s="13" t="inlineStr">
        <is>
          <t>rad/s</t>
        </is>
      </c>
      <c r="H43" s="18" t="inlineStr">
        <is>
          <t>S01</t>
        </is>
      </c>
      <c r="I43" s="13" t="inlineStr">
        <is>
          <t>evidence/GJB_A35_Dutch_roll.png</t>
        </is>
      </c>
      <c r="J43" s="13" t="inlineStr">
        <is>
          <t>联合检查；不能只检查zeta_d</t>
        </is>
      </c>
    </row>
    <row r="44" ht="48" customHeight="1">
      <c r="A44" s="13" t="inlineStr">
        <is>
          <t>GJB A35</t>
        </is>
      </c>
      <c r="B44" s="13" t="inlineStr">
        <is>
          <t>all</t>
        </is>
      </c>
      <c r="C44" s="13" t="n">
        <v>3</v>
      </c>
      <c r="D44" s="13" t="inlineStr">
        <is>
          <t>zeta_d min</t>
        </is>
      </c>
      <c r="E44" s="13" t="inlineStr">
        <is>
          <t>&gt;=</t>
        </is>
      </c>
      <c r="F44" s="13" t="n">
        <v>0</v>
      </c>
      <c r="G44" s="13" t="inlineStr">
        <is>
          <t>1</t>
        </is>
      </c>
      <c r="H44" s="18" t="inlineStr">
        <is>
          <t>S01</t>
        </is>
      </c>
      <c r="I44" s="13" t="inlineStr">
        <is>
          <t>evidence/GJB_A35_Dutch_roll.png</t>
        </is>
      </c>
      <c r="J44" s="13" t="inlineStr">
        <is>
          <t>联合检查；不能只检查zeta_d</t>
        </is>
      </c>
    </row>
    <row r="45" ht="48" customHeight="1">
      <c r="A45" s="13" t="inlineStr">
        <is>
          <t>GJB A35</t>
        </is>
      </c>
      <c r="B45" s="13" t="inlineStr">
        <is>
          <t>all</t>
        </is>
      </c>
      <c r="C45" s="13" t="n">
        <v>3</v>
      </c>
      <c r="D45" s="13" t="inlineStr">
        <is>
          <t>zeta_d*omega_d min</t>
        </is>
      </c>
      <c r="E45" s="13" t="inlineStr">
        <is>
          <t>N/A</t>
        </is>
      </c>
      <c r="F45" s="13" t="n"/>
      <c r="G45" s="13" t="inlineStr">
        <is>
          <t>rad/s</t>
        </is>
      </c>
      <c r="H45" s="18" t="inlineStr">
        <is>
          <t>S01</t>
        </is>
      </c>
      <c r="I45" s="13" t="inlineStr">
        <is>
          <t>evidence/GJB_A35_Dutch_roll.png</t>
        </is>
      </c>
      <c r="J45" s="13" t="inlineStr">
        <is>
          <t>联合检查；不能只检查zeta_d</t>
        </is>
      </c>
    </row>
    <row r="46" ht="48" customHeight="1">
      <c r="A46" s="13" t="inlineStr">
        <is>
          <t>GJB A35</t>
        </is>
      </c>
      <c r="B46" s="13" t="inlineStr">
        <is>
          <t>all</t>
        </is>
      </c>
      <c r="C46" s="13" t="n">
        <v>3</v>
      </c>
      <c r="D46" s="13" t="inlineStr">
        <is>
          <t>omega_d min</t>
        </is>
      </c>
      <c r="E46" s="13" t="inlineStr">
        <is>
          <t>&gt;=</t>
        </is>
      </c>
      <c r="F46" s="13" t="n">
        <v>0.4</v>
      </c>
      <c r="G46" s="13" t="inlineStr">
        <is>
          <t>rad/s</t>
        </is>
      </c>
      <c r="H46" s="18" t="inlineStr">
        <is>
          <t>S01</t>
        </is>
      </c>
      <c r="I46" s="13" t="inlineStr">
        <is>
          <t>evidence/GJB_A35_Dutch_roll.png</t>
        </is>
      </c>
      <c r="J46" s="13" t="inlineStr">
        <is>
          <t>联合检查；不能只检查zeta_d</t>
        </is>
      </c>
    </row>
    <row r="47" ht="48" customHeight="1">
      <c r="A47" s="13" t="inlineStr">
        <is>
          <t>MIL-HDBK Table XXVII</t>
        </is>
      </c>
      <c r="B47" s="13" t="inlineStr">
        <is>
          <t>roll response</t>
        </is>
      </c>
      <c r="C47" s="13" t="n">
        <v>1</v>
      </c>
      <c r="D47" s="13" t="inlineStr">
        <is>
          <t>allowable equivalent roll time delay max</t>
        </is>
      </c>
      <c r="E47" s="13" t="inlineStr">
        <is>
          <t>&lt;=</t>
        </is>
      </c>
      <c r="F47" s="13" t="n">
        <v>0.1</v>
      </c>
      <c r="G47" s="13" t="inlineStr">
        <is>
          <t>s</t>
        </is>
      </c>
      <c r="H47" s="18" t="inlineStr">
        <is>
          <t>S02</t>
        </is>
      </c>
      <c r="I47" s="13" t="inlineStr">
        <is>
          <t>Table XXVII</t>
        </is>
      </c>
      <c r="J47" s="13" t="inlineStr">
        <is>
          <t>时延压力分桶；先统一时延定义</t>
        </is>
      </c>
    </row>
    <row r="48" ht="48" customHeight="1">
      <c r="A48" s="13" t="inlineStr">
        <is>
          <t>MIL-HDBK Table XXVII</t>
        </is>
      </c>
      <c r="B48" s="13" t="inlineStr">
        <is>
          <t>roll response</t>
        </is>
      </c>
      <c r="C48" s="13" t="n">
        <v>2</v>
      </c>
      <c r="D48" s="13" t="inlineStr">
        <is>
          <t>allowable equivalent roll time delay max</t>
        </is>
      </c>
      <c r="E48" s="13" t="inlineStr">
        <is>
          <t>&lt;=</t>
        </is>
      </c>
      <c r="F48" s="13" t="n">
        <v>0.2</v>
      </c>
      <c r="G48" s="13" t="inlineStr">
        <is>
          <t>s</t>
        </is>
      </c>
      <c r="H48" s="18" t="inlineStr">
        <is>
          <t>S02</t>
        </is>
      </c>
      <c r="I48" s="13" t="inlineStr">
        <is>
          <t>Table XXVII</t>
        </is>
      </c>
      <c r="J48" s="13" t="inlineStr">
        <is>
          <t>时延压力分桶；先统一时延定义</t>
        </is>
      </c>
    </row>
    <row r="49" ht="48" customHeight="1">
      <c r="A49" s="13" t="inlineStr">
        <is>
          <t>MIL-HDBK Table XXVII</t>
        </is>
      </c>
      <c r="B49" s="13" t="inlineStr">
        <is>
          <t>roll response</t>
        </is>
      </c>
      <c r="C49" s="13" t="n">
        <v>3</v>
      </c>
      <c r="D49" s="13" t="inlineStr">
        <is>
          <t>allowable equivalent roll time delay max</t>
        </is>
      </c>
      <c r="E49" s="13" t="inlineStr">
        <is>
          <t>&lt;=</t>
        </is>
      </c>
      <c r="F49" s="13" t="n">
        <v>0.25</v>
      </c>
      <c r="G49" s="13" t="inlineStr">
        <is>
          <t>s</t>
        </is>
      </c>
      <c r="H49" s="18" t="inlineStr">
        <is>
          <t>S02</t>
        </is>
      </c>
      <c r="I49" s="13" t="inlineStr">
        <is>
          <t>Table XXVII</t>
        </is>
      </c>
      <c r="J49" s="13" t="inlineStr">
        <is>
          <t>时延压力分桶；先统一时延定义</t>
        </is>
      </c>
    </row>
    <row r="50" ht="48" customHeight="1">
      <c r="A50" s="13" t="inlineStr">
        <is>
          <t>MIL-HDBK Table XXXVI</t>
        </is>
      </c>
      <c r="B50" s="13" t="inlineStr">
        <is>
          <t>I,II-C,IV;A/B</t>
        </is>
      </c>
      <c r="C50" s="13" t="n">
        <v>1</v>
      </c>
      <c r="D50" s="13" t="inlineStr">
        <is>
          <t>centerstick max force</t>
        </is>
      </c>
      <c r="E50" s="13" t="inlineStr">
        <is>
          <t>&lt;=</t>
        </is>
      </c>
      <c r="F50" s="13" t="n">
        <v>20</v>
      </c>
      <c r="G50" s="13" t="inlineStr">
        <is>
          <t>lbf</t>
        </is>
      </c>
      <c r="H50" s="18" t="inlineStr">
        <is>
          <t>S02</t>
        </is>
      </c>
      <c r="I50" s="13" t="inlineStr">
        <is>
          <t>Table XXXVI</t>
        </is>
      </c>
      <c r="J50" s="13" t="inlineStr">
        <is>
          <t>定义F_as,max时按操纵器分桶；侧杆另需具体型号</t>
        </is>
      </c>
    </row>
    <row r="51" ht="48" customHeight="1">
      <c r="A51" s="13" t="inlineStr">
        <is>
          <t>MIL-HDBK Table XXXVI</t>
        </is>
      </c>
      <c r="B51" s="13" t="inlineStr">
        <is>
          <t>I,II-C,IV;A/B</t>
        </is>
      </c>
      <c r="C51" s="13" t="n">
        <v>1</v>
      </c>
      <c r="D51" s="13" t="inlineStr">
        <is>
          <t>wheel max force</t>
        </is>
      </c>
      <c r="E51" s="13" t="inlineStr">
        <is>
          <t>&lt;=</t>
        </is>
      </c>
      <c r="F51" s="13" t="n">
        <v>40</v>
      </c>
      <c r="G51" s="13" t="inlineStr">
        <is>
          <t>lbf</t>
        </is>
      </c>
      <c r="H51" s="18" t="inlineStr">
        <is>
          <t>S02</t>
        </is>
      </c>
      <c r="I51" s="13" t="inlineStr">
        <is>
          <t>Table XXXVI</t>
        </is>
      </c>
      <c r="J51" s="13" t="inlineStr">
        <is>
          <t>定义F_as,max时按操纵器分桶；侧杆另需具体型号</t>
        </is>
      </c>
    </row>
    <row r="52" ht="48" customHeight="1">
      <c r="A52" s="13" t="inlineStr">
        <is>
          <t>MIL-HDBK Table XXXVI</t>
        </is>
      </c>
      <c r="B52" s="13" t="inlineStr">
        <is>
          <t>I,II-C,IV;C</t>
        </is>
      </c>
      <c r="C52" s="13" t="n">
        <v>1</v>
      </c>
      <c r="D52" s="13" t="inlineStr">
        <is>
          <t>centerstick max force</t>
        </is>
      </c>
      <c r="E52" s="13" t="inlineStr">
        <is>
          <t>&lt;=</t>
        </is>
      </c>
      <c r="F52" s="13" t="n">
        <v>20</v>
      </c>
      <c r="G52" s="13" t="inlineStr">
        <is>
          <t>lbf</t>
        </is>
      </c>
      <c r="H52" s="18" t="inlineStr">
        <is>
          <t>S02</t>
        </is>
      </c>
      <c r="I52" s="13" t="inlineStr">
        <is>
          <t>Table XXXVI</t>
        </is>
      </c>
      <c r="J52" s="13" t="inlineStr">
        <is>
          <t>定义F_as,max时按操纵器分桶；侧杆另需具体型号</t>
        </is>
      </c>
    </row>
    <row r="53" ht="48" customHeight="1">
      <c r="A53" s="13" t="inlineStr">
        <is>
          <t>MIL-HDBK Table XXXVI</t>
        </is>
      </c>
      <c r="B53" s="13" t="inlineStr">
        <is>
          <t>I,II-C,IV;C</t>
        </is>
      </c>
      <c r="C53" s="13" t="n">
        <v>1</v>
      </c>
      <c r="D53" s="13" t="inlineStr">
        <is>
          <t>wheel max force</t>
        </is>
      </c>
      <c r="E53" s="13" t="inlineStr">
        <is>
          <t>&lt;=</t>
        </is>
      </c>
      <c r="F53" s="13" t="n">
        <v>20</v>
      </c>
      <c r="G53" s="13" t="inlineStr">
        <is>
          <t>lbf</t>
        </is>
      </c>
      <c r="H53" s="18" t="inlineStr">
        <is>
          <t>S02</t>
        </is>
      </c>
      <c r="I53" s="13" t="inlineStr">
        <is>
          <t>Table XXXVI</t>
        </is>
      </c>
      <c r="J53" s="13" t="inlineStr">
        <is>
          <t>定义F_as,max时按操纵器分桶；侧杆另需具体型号</t>
        </is>
      </c>
    </row>
    <row r="54" ht="48" customHeight="1">
      <c r="A54" s="13" t="inlineStr">
        <is>
          <t>MIL-HDBK Table XXXVI</t>
        </is>
      </c>
      <c r="B54" s="13" t="inlineStr">
        <is>
          <t>II-L,III;A/B</t>
        </is>
      </c>
      <c r="C54" s="13" t="n">
        <v>1</v>
      </c>
      <c r="D54" s="13" t="inlineStr">
        <is>
          <t>centerstick max force</t>
        </is>
      </c>
      <c r="E54" s="13" t="inlineStr">
        <is>
          <t>&lt;=</t>
        </is>
      </c>
      <c r="F54" s="13" t="n">
        <v>25</v>
      </c>
      <c r="G54" s="13" t="inlineStr">
        <is>
          <t>lbf</t>
        </is>
      </c>
      <c r="H54" s="18" t="inlineStr">
        <is>
          <t>S02</t>
        </is>
      </c>
      <c r="I54" s="13" t="inlineStr">
        <is>
          <t>Table XXXVI</t>
        </is>
      </c>
      <c r="J54" s="13" t="inlineStr">
        <is>
          <t>定义F_as,max时按操纵器分桶；侧杆另需具体型号</t>
        </is>
      </c>
    </row>
    <row r="55" ht="48" customHeight="1">
      <c r="A55" s="13" t="inlineStr">
        <is>
          <t>MIL-HDBK Table XXXVI</t>
        </is>
      </c>
      <c r="B55" s="13" t="inlineStr">
        <is>
          <t>II-L,III;A/B</t>
        </is>
      </c>
      <c r="C55" s="13" t="n">
        <v>1</v>
      </c>
      <c r="D55" s="13" t="inlineStr">
        <is>
          <t>wheel max force</t>
        </is>
      </c>
      <c r="E55" s="13" t="inlineStr">
        <is>
          <t>&lt;=</t>
        </is>
      </c>
      <c r="F55" s="13" t="n">
        <v>50</v>
      </c>
      <c r="G55" s="13" t="inlineStr">
        <is>
          <t>lbf</t>
        </is>
      </c>
      <c r="H55" s="18" t="inlineStr">
        <is>
          <t>S02</t>
        </is>
      </c>
      <c r="I55" s="13" t="inlineStr">
        <is>
          <t>Table XXXVI</t>
        </is>
      </c>
      <c r="J55" s="13" t="inlineStr">
        <is>
          <t>定义F_as,max时按操纵器分桶；侧杆另需具体型号</t>
        </is>
      </c>
    </row>
    <row r="56" ht="48" customHeight="1">
      <c r="A56" s="13" t="inlineStr">
        <is>
          <t>MIL-HDBK Table XXXVI</t>
        </is>
      </c>
      <c r="B56" s="13" t="inlineStr">
        <is>
          <t>II-L,III;C</t>
        </is>
      </c>
      <c r="C56" s="13" t="n">
        <v>1</v>
      </c>
      <c r="D56" s="13" t="inlineStr">
        <is>
          <t>centerstick max force</t>
        </is>
      </c>
      <c r="E56" s="13" t="inlineStr">
        <is>
          <t>&lt;=</t>
        </is>
      </c>
      <c r="F56" s="13" t="n">
        <v>25</v>
      </c>
      <c r="G56" s="13" t="inlineStr">
        <is>
          <t>lbf</t>
        </is>
      </c>
      <c r="H56" s="18" t="inlineStr">
        <is>
          <t>S02</t>
        </is>
      </c>
      <c r="I56" s="13" t="inlineStr">
        <is>
          <t>Table XXXVI</t>
        </is>
      </c>
      <c r="J56" s="13" t="inlineStr">
        <is>
          <t>定义F_as,max时按操纵器分桶；侧杆另需具体型号</t>
        </is>
      </c>
    </row>
    <row r="57" ht="48" customHeight="1">
      <c r="A57" s="13" t="inlineStr">
        <is>
          <t>MIL-HDBK Table XXXVI</t>
        </is>
      </c>
      <c r="B57" s="13" t="inlineStr">
        <is>
          <t>II-L,III;C</t>
        </is>
      </c>
      <c r="C57" s="13" t="n">
        <v>1</v>
      </c>
      <c r="D57" s="13" t="inlineStr">
        <is>
          <t>wheel max force</t>
        </is>
      </c>
      <c r="E57" s="13" t="inlineStr">
        <is>
          <t>&lt;=</t>
        </is>
      </c>
      <c r="F57" s="13" t="n">
        <v>25</v>
      </c>
      <c r="G57" s="13" t="inlineStr">
        <is>
          <t>lbf</t>
        </is>
      </c>
      <c r="H57" s="18" t="inlineStr">
        <is>
          <t>S02</t>
        </is>
      </c>
      <c r="I57" s="13" t="inlineStr">
        <is>
          <t>Table XXXVI</t>
        </is>
      </c>
      <c r="J57" s="13" t="inlineStr">
        <is>
          <t>定义F_as,max时按操纵器分桶；侧杆另需具体型号</t>
        </is>
      </c>
    </row>
    <row r="58" ht="48" customHeight="1">
      <c r="A58" s="13" t="inlineStr">
        <is>
          <t>MIL-HDBK Table XXXVI</t>
        </is>
      </c>
      <c r="B58" s="13" t="inlineStr">
        <is>
          <t>I,II-C,IV;A/B</t>
        </is>
      </c>
      <c r="C58" s="13" t="n">
        <v>2</v>
      </c>
      <c r="D58" s="13" t="inlineStr">
        <is>
          <t>centerstick max force</t>
        </is>
      </c>
      <c r="E58" s="13" t="inlineStr">
        <is>
          <t>&lt;=</t>
        </is>
      </c>
      <c r="F58" s="13" t="n">
        <v>30</v>
      </c>
      <c r="G58" s="13" t="inlineStr">
        <is>
          <t>lbf</t>
        </is>
      </c>
      <c r="H58" s="18" t="inlineStr">
        <is>
          <t>S02</t>
        </is>
      </c>
      <c r="I58" s="13" t="inlineStr">
        <is>
          <t>Table XXXVI</t>
        </is>
      </c>
      <c r="J58" s="13" t="inlineStr">
        <is>
          <t>定义F_as,max时按操纵器分桶；侧杆另需具体型号</t>
        </is>
      </c>
    </row>
    <row r="59" ht="48" customHeight="1">
      <c r="A59" s="13" t="inlineStr">
        <is>
          <t>MIL-HDBK Table XXXVI</t>
        </is>
      </c>
      <c r="B59" s="13" t="inlineStr">
        <is>
          <t>I,II-C,IV;A/B</t>
        </is>
      </c>
      <c r="C59" s="13" t="n">
        <v>2</v>
      </c>
      <c r="D59" s="13" t="inlineStr">
        <is>
          <t>wheel max force</t>
        </is>
      </c>
      <c r="E59" s="13" t="inlineStr">
        <is>
          <t>&lt;=</t>
        </is>
      </c>
      <c r="F59" s="13" t="n">
        <v>60</v>
      </c>
      <c r="G59" s="13" t="inlineStr">
        <is>
          <t>lbf</t>
        </is>
      </c>
      <c r="H59" s="18" t="inlineStr">
        <is>
          <t>S02</t>
        </is>
      </c>
      <c r="I59" s="13" t="inlineStr">
        <is>
          <t>Table XXXVI</t>
        </is>
      </c>
      <c r="J59" s="13" t="inlineStr">
        <is>
          <t>定义F_as,max时按操纵器分桶；侧杆另需具体型号</t>
        </is>
      </c>
    </row>
    <row r="60" ht="48" customHeight="1">
      <c r="A60" s="13" t="inlineStr">
        <is>
          <t>MIL-HDBK Table XXXVI</t>
        </is>
      </c>
      <c r="B60" s="13" t="inlineStr">
        <is>
          <t>I,II-C,IV;C</t>
        </is>
      </c>
      <c r="C60" s="13" t="n">
        <v>2</v>
      </c>
      <c r="D60" s="13" t="inlineStr">
        <is>
          <t>centerstick max force</t>
        </is>
      </c>
      <c r="E60" s="13" t="inlineStr">
        <is>
          <t>&lt;=</t>
        </is>
      </c>
      <c r="F60" s="13" t="n">
        <v>20</v>
      </c>
      <c r="G60" s="13" t="inlineStr">
        <is>
          <t>lbf</t>
        </is>
      </c>
      <c r="H60" s="18" t="inlineStr">
        <is>
          <t>S02</t>
        </is>
      </c>
      <c r="I60" s="13" t="inlineStr">
        <is>
          <t>Table XXXVI</t>
        </is>
      </c>
      <c r="J60" s="13" t="inlineStr">
        <is>
          <t>定义F_as,max时按操纵器分桶；侧杆另需具体型号</t>
        </is>
      </c>
    </row>
    <row r="61" ht="48" customHeight="1">
      <c r="A61" s="13" t="inlineStr">
        <is>
          <t>MIL-HDBK Table XXXVI</t>
        </is>
      </c>
      <c r="B61" s="13" t="inlineStr">
        <is>
          <t>I,II-C,IV;C</t>
        </is>
      </c>
      <c r="C61" s="13" t="n">
        <v>2</v>
      </c>
      <c r="D61" s="13" t="inlineStr">
        <is>
          <t>wheel max force</t>
        </is>
      </c>
      <c r="E61" s="13" t="inlineStr">
        <is>
          <t>&lt;=</t>
        </is>
      </c>
      <c r="F61" s="13" t="n">
        <v>20</v>
      </c>
      <c r="G61" s="13" t="inlineStr">
        <is>
          <t>lbf</t>
        </is>
      </c>
      <c r="H61" s="18" t="inlineStr">
        <is>
          <t>S02</t>
        </is>
      </c>
      <c r="I61" s="13" t="inlineStr">
        <is>
          <t>Table XXXVI</t>
        </is>
      </c>
      <c r="J61" s="13" t="inlineStr">
        <is>
          <t>定义F_as,max时按操纵器分桶；侧杆另需具体型号</t>
        </is>
      </c>
    </row>
    <row r="62" ht="48" customHeight="1">
      <c r="A62" s="13" t="inlineStr">
        <is>
          <t>MIL-HDBK Table XXXVI</t>
        </is>
      </c>
      <c r="B62" s="13" t="inlineStr">
        <is>
          <t>II-L,III;A/B</t>
        </is>
      </c>
      <c r="C62" s="13" t="n">
        <v>2</v>
      </c>
      <c r="D62" s="13" t="inlineStr">
        <is>
          <t>centerstick max force</t>
        </is>
      </c>
      <c r="E62" s="13" t="inlineStr">
        <is>
          <t>&lt;=</t>
        </is>
      </c>
      <c r="F62" s="13" t="n">
        <v>30</v>
      </c>
      <c r="G62" s="13" t="inlineStr">
        <is>
          <t>lbf</t>
        </is>
      </c>
      <c r="H62" s="18" t="inlineStr">
        <is>
          <t>S02</t>
        </is>
      </c>
      <c r="I62" s="13" t="inlineStr">
        <is>
          <t>Table XXXVI</t>
        </is>
      </c>
      <c r="J62" s="13" t="inlineStr">
        <is>
          <t>定义F_as,max时按操纵器分桶；侧杆另需具体型号</t>
        </is>
      </c>
    </row>
    <row r="63" ht="48" customHeight="1">
      <c r="A63" s="13" t="inlineStr">
        <is>
          <t>MIL-HDBK Table XXXVI</t>
        </is>
      </c>
      <c r="B63" s="13" t="inlineStr">
        <is>
          <t>II-L,III;A/B</t>
        </is>
      </c>
      <c r="C63" s="13" t="n">
        <v>2</v>
      </c>
      <c r="D63" s="13" t="inlineStr">
        <is>
          <t>wheel max force</t>
        </is>
      </c>
      <c r="E63" s="13" t="inlineStr">
        <is>
          <t>&lt;=</t>
        </is>
      </c>
      <c r="F63" s="13" t="n">
        <v>60</v>
      </c>
      <c r="G63" s="13" t="inlineStr">
        <is>
          <t>lbf</t>
        </is>
      </c>
      <c r="H63" s="18" t="inlineStr">
        <is>
          <t>S02</t>
        </is>
      </c>
      <c r="I63" s="13" t="inlineStr">
        <is>
          <t>Table XXXVI</t>
        </is>
      </c>
      <c r="J63" s="13" t="inlineStr">
        <is>
          <t>定义F_as,max时按操纵器分桶；侧杆另需具体型号</t>
        </is>
      </c>
    </row>
    <row r="64" ht="48" customHeight="1">
      <c r="A64" s="13" t="inlineStr">
        <is>
          <t>MIL-HDBK Table XXXVI</t>
        </is>
      </c>
      <c r="B64" s="13" t="inlineStr">
        <is>
          <t>II-L,III;C</t>
        </is>
      </c>
      <c r="C64" s="13" t="n">
        <v>2</v>
      </c>
      <c r="D64" s="13" t="inlineStr">
        <is>
          <t>centerstick max force</t>
        </is>
      </c>
      <c r="E64" s="13" t="inlineStr">
        <is>
          <t>&lt;=</t>
        </is>
      </c>
      <c r="F64" s="13" t="n">
        <v>30</v>
      </c>
      <c r="G64" s="13" t="inlineStr">
        <is>
          <t>lbf</t>
        </is>
      </c>
      <c r="H64" s="18" t="inlineStr">
        <is>
          <t>S02</t>
        </is>
      </c>
      <c r="I64" s="13" t="inlineStr">
        <is>
          <t>Table XXXVI</t>
        </is>
      </c>
      <c r="J64" s="13" t="inlineStr">
        <is>
          <t>定义F_as,max时按操纵器分桶；侧杆另需具体型号</t>
        </is>
      </c>
    </row>
    <row r="65" ht="48" customHeight="1">
      <c r="A65" s="13" t="inlineStr">
        <is>
          <t>MIL-HDBK Table XXXVI</t>
        </is>
      </c>
      <c r="B65" s="13" t="inlineStr">
        <is>
          <t>II-L,III;C</t>
        </is>
      </c>
      <c r="C65" s="13" t="n">
        <v>2</v>
      </c>
      <c r="D65" s="13" t="inlineStr">
        <is>
          <t>wheel max force</t>
        </is>
      </c>
      <c r="E65" s="13" t="inlineStr">
        <is>
          <t>&lt;=</t>
        </is>
      </c>
      <c r="F65" s="13" t="n">
        <v>30</v>
      </c>
      <c r="G65" s="13" t="inlineStr">
        <is>
          <t>lbf</t>
        </is>
      </c>
      <c r="H65" s="18" t="inlineStr">
        <is>
          <t>S02</t>
        </is>
      </c>
      <c r="I65" s="13" t="inlineStr">
        <is>
          <t>Table XXXVI</t>
        </is>
      </c>
      <c r="J65" s="13" t="inlineStr">
        <is>
          <t>定义F_as,max时按操纵器分桶；侧杆另需具体型号</t>
        </is>
      </c>
    </row>
    <row r="66" ht="48" customHeight="1">
      <c r="A66" s="13" t="inlineStr">
        <is>
          <t>MIL-HDBK Table XXXVI</t>
        </is>
      </c>
      <c r="B66" s="13" t="inlineStr">
        <is>
          <t>all;all</t>
        </is>
      </c>
      <c r="C66" s="13" t="n">
        <v>3</v>
      </c>
      <c r="D66" s="13" t="inlineStr">
        <is>
          <t>centerstick max force</t>
        </is>
      </c>
      <c r="E66" s="13" t="inlineStr">
        <is>
          <t>&lt;=</t>
        </is>
      </c>
      <c r="F66" s="13" t="n">
        <v>35</v>
      </c>
      <c r="G66" s="13" t="inlineStr">
        <is>
          <t>lbf</t>
        </is>
      </c>
      <c r="H66" s="18" t="inlineStr">
        <is>
          <t>S02</t>
        </is>
      </c>
      <c r="I66" s="13" t="inlineStr">
        <is>
          <t>Table XXXVI</t>
        </is>
      </c>
      <c r="J66" s="13" t="inlineStr">
        <is>
          <t>定义F_as,max时按操纵器分桶；侧杆另需具体型号</t>
        </is>
      </c>
    </row>
    <row r="67" ht="48" customHeight="1">
      <c r="A67" s="13" t="inlineStr">
        <is>
          <t>MIL-HDBK Table XXXVI</t>
        </is>
      </c>
      <c r="B67" s="13" t="inlineStr">
        <is>
          <t>all;all</t>
        </is>
      </c>
      <c r="C67" s="13" t="n">
        <v>3</v>
      </c>
      <c r="D67" s="13" t="inlineStr">
        <is>
          <t>wheel max force</t>
        </is>
      </c>
      <c r="E67" s="13" t="inlineStr">
        <is>
          <t>&lt;=</t>
        </is>
      </c>
      <c r="F67" s="13" t="n">
        <v>70</v>
      </c>
      <c r="G67" s="13" t="inlineStr">
        <is>
          <t>lbf</t>
        </is>
      </c>
      <c r="H67" s="18" t="inlineStr">
        <is>
          <t>S02</t>
        </is>
      </c>
      <c r="I67" s="13" t="inlineStr">
        <is>
          <t>Table XXXVI</t>
        </is>
      </c>
      <c r="J67" s="13" t="inlineStr">
        <is>
          <t>定义F_as,max时按操纵器分桶；侧杆另需具体型号</t>
        </is>
      </c>
    </row>
    <row r="68" ht="48" customHeight="1">
      <c r="A68" s="13" t="inlineStr">
        <is>
          <t>MIL-HDBK Table XXXVII</t>
        </is>
      </c>
      <c r="B68" s="13" t="inlineStr">
        <is>
          <t>A</t>
        </is>
      </c>
      <c r="C68" s="13" t="n">
        <v>1</v>
      </c>
      <c r="D68" s="13" t="inlineStr">
        <is>
          <t>max roll sensitivity, stick-controlled aircraft</t>
        </is>
      </c>
      <c r="E68" s="13" t="inlineStr">
        <is>
          <t>&lt;=</t>
        </is>
      </c>
      <c r="F68" s="13" t="n">
        <v>15</v>
      </c>
      <c r="G68" s="13" t="inlineStr">
        <is>
          <t>deg-in-1-sec/lbf</t>
        </is>
      </c>
      <c r="H68" s="18" t="inlineStr">
        <is>
          <t>S02</t>
        </is>
      </c>
      <c r="I68" s="13" t="inlineStr">
        <is>
          <t>Table XXXVII</t>
        </is>
      </c>
      <c r="J68" s="13" t="inlineStr">
        <is>
          <t>仅作操纵灵敏度交叉核对；不是p_ss/F或L_Fa</t>
        </is>
      </c>
    </row>
    <row r="69" ht="48" customHeight="1">
      <c r="A69" s="13" t="inlineStr">
        <is>
          <t>MIL-HDBK Table XXXVII</t>
        </is>
      </c>
      <c r="B69" s="13" t="inlineStr">
        <is>
          <t>C</t>
        </is>
      </c>
      <c r="C69" s="13" t="n">
        <v>1</v>
      </c>
      <c r="D69" s="13" t="inlineStr">
        <is>
          <t>max roll sensitivity, stick-controlled aircraft</t>
        </is>
      </c>
      <c r="E69" s="13" t="inlineStr">
        <is>
          <t>&lt;=</t>
        </is>
      </c>
      <c r="F69" s="13" t="n">
        <v>7.5</v>
      </c>
      <c r="G69" s="13" t="inlineStr">
        <is>
          <t>deg-in-1-sec/lbf</t>
        </is>
      </c>
      <c r="H69" s="18" t="inlineStr">
        <is>
          <t>S02</t>
        </is>
      </c>
      <c r="I69" s="13" t="inlineStr">
        <is>
          <t>Table XXXVII</t>
        </is>
      </c>
      <c r="J69" s="13" t="inlineStr">
        <is>
          <t>仅作操纵灵敏度交叉核对；不是p_ss/F或L_Fa</t>
        </is>
      </c>
    </row>
    <row r="70" ht="48" customHeight="1">
      <c r="A70" s="13" t="inlineStr">
        <is>
          <t>MIL-HDBK Table XXXVII</t>
        </is>
      </c>
      <c r="B70" s="13" t="inlineStr">
        <is>
          <t>A</t>
        </is>
      </c>
      <c r="C70" s="13" t="n">
        <v>2</v>
      </c>
      <c r="D70" s="13" t="inlineStr">
        <is>
          <t>max roll sensitivity, stick-controlled aircraft</t>
        </is>
      </c>
      <c r="E70" s="13" t="inlineStr">
        <is>
          <t>&lt;=</t>
        </is>
      </c>
      <c r="F70" s="13" t="n">
        <v>25</v>
      </c>
      <c r="G70" s="13" t="inlineStr">
        <is>
          <t>deg-in-1-sec/lbf</t>
        </is>
      </c>
      <c r="H70" s="18" t="inlineStr">
        <is>
          <t>S02</t>
        </is>
      </c>
      <c r="I70" s="13" t="inlineStr">
        <is>
          <t>Table XXXVII</t>
        </is>
      </c>
      <c r="J70" s="13" t="inlineStr">
        <is>
          <t>仅作操纵灵敏度交叉核对；不是p_ss/F或L_Fa</t>
        </is>
      </c>
    </row>
    <row r="71" ht="48" customHeight="1">
      <c r="A71" s="13" t="inlineStr">
        <is>
          <t>MIL-HDBK Table XXXVII</t>
        </is>
      </c>
      <c r="B71" s="13" t="inlineStr">
        <is>
          <t>C</t>
        </is>
      </c>
      <c r="C71" s="13" t="n">
        <v>2</v>
      </c>
      <c r="D71" s="13" t="inlineStr">
        <is>
          <t>max roll sensitivity, stick-controlled aircraft</t>
        </is>
      </c>
      <c r="E71" s="13" t="inlineStr">
        <is>
          <t>&lt;=</t>
        </is>
      </c>
      <c r="F71" s="13" t="n">
        <v>12.5</v>
      </c>
      <c r="G71" s="13" t="inlineStr">
        <is>
          <t>deg-in-1-sec/lbf</t>
        </is>
      </c>
      <c r="H71" s="18" t="inlineStr">
        <is>
          <t>S02</t>
        </is>
      </c>
      <c r="I71" s="13" t="inlineStr">
        <is>
          <t>Table XXXVII</t>
        </is>
      </c>
      <c r="J71" s="13" t="inlineStr">
        <is>
          <t>仅作操纵灵敏度交叉核对；不是p_ss/F或L_Fa</t>
        </is>
      </c>
    </row>
  </sheetData>
  <autoFilter ref="A1:J71"/>
  <conditionalFormatting sqref="C2:C71">
    <cfRule type="cellIs" priority="1" operator="equal" dxfId="0">
      <formula>3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34" customWidth="1" min="22" max="22"/>
    <col width="28" customWidth="1" min="23" max="23"/>
  </cols>
  <sheetData>
    <row r="1" ht="34" customHeight="1">
      <c r="A1" s="12" t="inlineStr">
        <is>
          <t>source_id</t>
        </is>
      </c>
      <c r="B1" s="12" t="inlineStr">
        <is>
          <t>aircraft_or_config</t>
        </is>
      </c>
      <c r="C1" s="12" t="inlineStr">
        <is>
          <t>aircraft_class</t>
        </is>
      </c>
      <c r="D1" s="12" t="inlineStr">
        <is>
          <t>flight_condition</t>
        </is>
      </c>
      <c r="E1" s="12" t="inlineStr">
        <is>
          <t>evidence_type</t>
        </is>
      </c>
      <c r="F1" s="12" t="inlineStr">
        <is>
          <t>input_definition</t>
        </is>
      </c>
      <c r="G1" s="12" t="inlineStr">
        <is>
          <t>T_R_s</t>
        </is>
      </c>
      <c r="H1" s="12" t="inlineStr">
        <is>
          <t>lambda_s_1_s</t>
        </is>
      </c>
      <c r="I1" s="12" t="inlineStr">
        <is>
          <t>T_s_s</t>
        </is>
      </c>
      <c r="J1" s="12" t="inlineStr">
        <is>
          <t>spiral_metric_s</t>
        </is>
      </c>
      <c r="K1" s="12" t="inlineStr">
        <is>
          <t>spiral_metric_type</t>
        </is>
      </c>
      <c r="L1" s="12" t="inlineStr">
        <is>
          <t>tau_p_s</t>
        </is>
      </c>
      <c r="M1" s="12" t="inlineStr">
        <is>
          <t>zeta_d</t>
        </is>
      </c>
      <c r="N1" s="12" t="inlineStr">
        <is>
          <t>omega_d_rad_s</t>
        </is>
      </c>
      <c r="O1" s="12" t="inlineStr">
        <is>
          <t>zeta_phi</t>
        </is>
      </c>
      <c r="P1" s="12" t="inlineStr">
        <is>
          <t>omega_phi_rad_s</t>
        </is>
      </c>
      <c r="Q1" s="12" t="inlineStr">
        <is>
          <t>R_omega</t>
        </is>
      </c>
      <c r="R1" s="12" t="inlineStr">
        <is>
          <t>R_zeta</t>
        </is>
      </c>
      <c r="S1" s="12" t="inlineStr">
        <is>
          <t>K_pF_deg_s_lbf</t>
        </is>
      </c>
      <c r="T1" s="12" t="inlineStr">
        <is>
          <t>L_Fa_deg_s2_lbf</t>
        </is>
      </c>
      <c r="U1" s="12" t="inlineStr">
        <is>
          <t>p_command_max_deg_s</t>
        </is>
      </c>
      <c r="V1" s="12" t="inlineStr">
        <is>
          <t>locator</t>
        </is>
      </c>
      <c r="W1" s="12" t="inlineStr">
        <is>
          <t>notes</t>
        </is>
      </c>
    </row>
    <row r="2" ht="48" customHeight="1">
      <c r="A2" s="18" t="inlineStr">
        <is>
          <t>S07</t>
        </is>
      </c>
      <c r="B2" s="13" t="inlineStr">
        <is>
          <t>SST baseline/no augmentation</t>
        </is>
      </c>
      <c r="C2" s="13" t="inlineStr">
        <is>
          <t>large transport concept</t>
        </is>
      </c>
      <c r="D2" s="13" t="inlineStr">
        <is>
          <t>approach, 153 kt</t>
        </is>
      </c>
      <c r="E2" s="13" t="inlineStr">
        <is>
          <t>piloted simulation configuration</t>
        </is>
      </c>
      <c r="F2" s="13" t="inlineStr">
        <is>
          <t>simulation lateral control</t>
        </is>
      </c>
      <c r="G2" s="13" t="n">
        <v>1.689</v>
      </c>
      <c r="H2" s="13" t="n">
        <v>-0.03000637145281148</v>
      </c>
      <c r="I2" s="13" t="n">
        <v>33.32625544453506</v>
      </c>
      <c r="J2" s="13" t="n">
        <v>23.1</v>
      </c>
      <c r="K2" s="13" t="inlineStr">
        <is>
          <t>stable time-to-half</t>
        </is>
      </c>
      <c r="L2" s="13" t="n"/>
      <c r="M2" s="13" t="n">
        <v>0.079</v>
      </c>
      <c r="N2" s="13" t="n">
        <v>0.805</v>
      </c>
      <c r="O2" s="13" t="n">
        <v>0.24648</v>
      </c>
      <c r="P2" s="13" t="n">
        <v>0.454825</v>
      </c>
      <c r="Q2" s="13" t="n">
        <v>0.5649999999999999</v>
      </c>
      <c r="R2" s="13" t="n">
        <v>3.12</v>
      </c>
      <c r="S2" s="13" t="n"/>
      <c r="T2" s="13" t="n"/>
      <c r="U2" s="13" t="n"/>
      <c r="V2" s="13" t="inlineStr">
        <is>
          <t>Table V, PDF pp.48-49</t>
        </is>
      </c>
      <c r="W2" s="13" t="inlineStr">
        <is>
          <t>T_s由稳定半幅时间派生；中性螺旋lambda=0。</t>
        </is>
      </c>
    </row>
    <row r="3" ht="48" customHeight="1">
      <c r="A3" s="18" t="inlineStr">
        <is>
          <t>S07</t>
        </is>
      </c>
      <c r="B3" s="13" t="inlineStr">
        <is>
          <t>SST baseline/HSAS</t>
        </is>
      </c>
      <c r="C3" s="13" t="inlineStr">
        <is>
          <t>large transport concept</t>
        </is>
      </c>
      <c r="D3" s="13" t="inlineStr">
        <is>
          <t>approach, 153 kt</t>
        </is>
      </c>
      <c r="E3" s="13" t="inlineStr">
        <is>
          <t>piloted simulation configuration</t>
        </is>
      </c>
      <c r="F3" s="13" t="inlineStr">
        <is>
          <t>simulation lateral control</t>
        </is>
      </c>
      <c r="G3" s="13" t="n">
        <v>0.85</v>
      </c>
      <c r="H3" s="13" t="n">
        <v>-0.04471917293935131</v>
      </c>
      <c r="I3" s="13" t="n">
        <v>22.36177313377894</v>
      </c>
      <c r="J3" s="13" t="n">
        <v>15.5</v>
      </c>
      <c r="K3" s="13" t="inlineStr">
        <is>
          <t>stable time-to-half</t>
        </is>
      </c>
      <c r="L3" s="13" t="n"/>
      <c r="M3" s="13" t="n">
        <v>0.45</v>
      </c>
      <c r="N3" s="13" t="n">
        <v>0.522</v>
      </c>
      <c r="O3" s="13" t="n">
        <v>0.26505</v>
      </c>
      <c r="P3" s="13" t="n">
        <v>0.456228</v>
      </c>
      <c r="Q3" s="13" t="n">
        <v>0.874</v>
      </c>
      <c r="R3" s="13" t="n">
        <v>0.589</v>
      </c>
      <c r="S3" s="13" t="n"/>
      <c r="T3" s="13" t="n"/>
      <c r="U3" s="13" t="n"/>
      <c r="V3" s="13" t="inlineStr">
        <is>
          <t>Table V, PDF pp.48-49</t>
        </is>
      </c>
      <c r="W3" s="13" t="inlineStr">
        <is>
          <t>T_s由稳定半幅时间派生；中性螺旋lambda=0。</t>
        </is>
      </c>
    </row>
    <row r="4" ht="48" customHeight="1">
      <c r="A4" s="18" t="inlineStr">
        <is>
          <t>S07</t>
        </is>
      </c>
      <c r="B4" s="13" t="inlineStr">
        <is>
          <t>SST baseline/SCAS</t>
        </is>
      </c>
      <c r="C4" s="13" t="inlineStr">
        <is>
          <t>large transport concept</t>
        </is>
      </c>
      <c r="D4" s="13" t="inlineStr">
        <is>
          <t>approach, 153 kt</t>
        </is>
      </c>
      <c r="E4" s="13" t="inlineStr">
        <is>
          <t>piloted simulation configuration</t>
        </is>
      </c>
      <c r="F4" s="13" t="inlineStr">
        <is>
          <t>simulation lateral control</t>
        </is>
      </c>
      <c r="G4" s="13" t="n">
        <v>0.27</v>
      </c>
      <c r="H4" s="13" t="n">
        <v>0</v>
      </c>
      <c r="I4" s="13" t="n"/>
      <c r="J4" s="13" t="n"/>
      <c r="K4" s="13" t="inlineStr">
        <is>
          <t>neutral</t>
        </is>
      </c>
      <c r="L4" s="13" t="n"/>
      <c r="M4" s="13" t="n">
        <v>0.266</v>
      </c>
      <c r="N4" s="13" t="n">
        <v>0.741</v>
      </c>
      <c r="O4" s="13" t="n">
        <v>0.255892</v>
      </c>
      <c r="P4" s="13" t="n">
        <v>0.743964</v>
      </c>
      <c r="Q4" s="13" t="n">
        <v>1.004</v>
      </c>
      <c r="R4" s="13" t="n">
        <v>0.962</v>
      </c>
      <c r="S4" s="13" t="n"/>
      <c r="T4" s="13" t="n"/>
      <c r="U4" s="13" t="n"/>
      <c r="V4" s="13" t="inlineStr">
        <is>
          <t>Table V, PDF pp.48-49</t>
        </is>
      </c>
      <c r="W4" s="13" t="inlineStr">
        <is>
          <t>T_s由稳定半幅时间派生；中性螺旋lambda=0。</t>
        </is>
      </c>
    </row>
    <row r="5" ht="48" customHeight="1">
      <c r="A5" s="18" t="inlineStr">
        <is>
          <t>S07</t>
        </is>
      </c>
      <c r="B5" s="13" t="inlineStr">
        <is>
          <t>SST baseline/modified SCAS</t>
        </is>
      </c>
      <c r="C5" s="13" t="inlineStr">
        <is>
          <t>large transport concept</t>
        </is>
      </c>
      <c r="D5" s="13" t="inlineStr">
        <is>
          <t>approach, 153 kt</t>
        </is>
      </c>
      <c r="E5" s="13" t="inlineStr">
        <is>
          <t>piloted simulation configuration</t>
        </is>
      </c>
      <c r="F5" s="13" t="inlineStr">
        <is>
          <t>simulation lateral control</t>
        </is>
      </c>
      <c r="G5" s="13" t="n">
        <v>0.241</v>
      </c>
      <c r="H5" s="13" t="n">
        <v>0</v>
      </c>
      <c r="I5" s="13" t="n"/>
      <c r="J5" s="13" t="n"/>
      <c r="K5" s="13" t="inlineStr">
        <is>
          <t>neutral</t>
        </is>
      </c>
      <c r="L5" s="13" t="n"/>
      <c r="M5" s="13" t="n">
        <v>0.259</v>
      </c>
      <c r="N5" s="13" t="n">
        <v>0.5620000000000001</v>
      </c>
      <c r="O5" s="13" t="n">
        <v>0.255633</v>
      </c>
      <c r="P5" s="13" t="n">
        <v>0.5760500000000001</v>
      </c>
      <c r="Q5" s="13" t="n">
        <v>1.025</v>
      </c>
      <c r="R5" s="13" t="n">
        <v>0.987</v>
      </c>
      <c r="S5" s="13" t="n"/>
      <c r="T5" s="13" t="n"/>
      <c r="U5" s="13" t="n"/>
      <c r="V5" s="13" t="inlineStr">
        <is>
          <t>Table V, PDF pp.48-49</t>
        </is>
      </c>
      <c r="W5" s="13" t="inlineStr">
        <is>
          <t>T_s由稳定半幅时间派生；中性螺旋lambda=0。</t>
        </is>
      </c>
    </row>
    <row r="6" ht="48" customHeight="1">
      <c r="A6" s="18" t="inlineStr">
        <is>
          <t>S07</t>
        </is>
      </c>
      <c r="B6" s="13" t="inlineStr">
        <is>
          <t>SST powered-lift/no augmentation</t>
        </is>
      </c>
      <c r="C6" s="13" t="inlineStr">
        <is>
          <t>large transport concept</t>
        </is>
      </c>
      <c r="D6" s="13" t="inlineStr">
        <is>
          <t>approach, 153 kt</t>
        </is>
      </c>
      <c r="E6" s="13" t="inlineStr">
        <is>
          <t>piloted simulation configuration</t>
        </is>
      </c>
      <c r="F6" s="13" t="inlineStr">
        <is>
          <t>simulation lateral control</t>
        </is>
      </c>
      <c r="G6" s="13" t="n">
        <v>1.017</v>
      </c>
      <c r="H6" s="13" t="n">
        <v>-0.005389946971694754</v>
      </c>
      <c r="I6" s="13" t="n">
        <v>185.5305822583207</v>
      </c>
      <c r="J6" s="13" t="n">
        <v>128.6</v>
      </c>
      <c r="K6" s="13" t="inlineStr">
        <is>
          <t>stable time-to-half</t>
        </is>
      </c>
      <c r="L6" s="13" t="n"/>
      <c r="M6" s="13" t="n">
        <v>0.051</v>
      </c>
      <c r="N6" s="13" t="n">
        <v>0.6850000000000001</v>
      </c>
      <c r="O6" s="13" t="n">
        <v>0.237201</v>
      </c>
      <c r="P6" s="13" t="n">
        <v>0.476075</v>
      </c>
      <c r="Q6" s="13" t="n">
        <v>0.695</v>
      </c>
      <c r="R6" s="13" t="n">
        <v>4.651</v>
      </c>
      <c r="S6" s="13" t="n"/>
      <c r="T6" s="13" t="n"/>
      <c r="U6" s="13" t="n"/>
      <c r="V6" s="13" t="inlineStr">
        <is>
          <t>Table V, PDF pp.48-49</t>
        </is>
      </c>
      <c r="W6" s="13" t="inlineStr">
        <is>
          <t>T_s由稳定半幅时间派生；中性螺旋lambda=0。</t>
        </is>
      </c>
    </row>
    <row r="7" ht="48" customHeight="1">
      <c r="A7" s="18" t="inlineStr">
        <is>
          <t>S07</t>
        </is>
      </c>
      <c r="B7" s="13" t="inlineStr">
        <is>
          <t>SST powered-lift/HSAS</t>
        </is>
      </c>
      <c r="C7" s="13" t="inlineStr">
        <is>
          <t>large transport concept</t>
        </is>
      </c>
      <c r="D7" s="13" t="inlineStr">
        <is>
          <t>approach, 153 kt</t>
        </is>
      </c>
      <c r="E7" s="13" t="inlineStr">
        <is>
          <t>piloted simulation configuration</t>
        </is>
      </c>
      <c r="F7" s="13" t="inlineStr">
        <is>
          <t>simulation lateral control</t>
        </is>
      </c>
      <c r="G7" s="13" t="n">
        <v>0.351</v>
      </c>
      <c r="H7" s="13" t="n">
        <v>-0.003889714817957044</v>
      </c>
      <c r="I7" s="13" t="n">
        <v>257.0882562864133</v>
      </c>
      <c r="J7" s="13" t="n">
        <v>178.2</v>
      </c>
      <c r="K7" s="13" t="inlineStr">
        <is>
          <t>stable time-to-half</t>
        </is>
      </c>
      <c r="L7" s="13" t="n"/>
      <c r="M7" s="13" t="n">
        <v>0.205</v>
      </c>
      <c r="N7" s="13" t="n">
        <v>0.524</v>
      </c>
      <c r="O7" s="13" t="n">
        <v>0.238005</v>
      </c>
      <c r="P7" s="13" t="n">
        <v>0.475792</v>
      </c>
      <c r="Q7" s="13" t="n">
        <v>0.908</v>
      </c>
      <c r="R7" s="13" t="n">
        <v>1.161</v>
      </c>
      <c r="S7" s="13" t="n"/>
      <c r="T7" s="13" t="n"/>
      <c r="U7" s="13" t="n"/>
      <c r="V7" s="13" t="inlineStr">
        <is>
          <t>Table V, PDF pp.48-49</t>
        </is>
      </c>
      <c r="W7" s="13" t="inlineStr">
        <is>
          <t>T_s由稳定半幅时间派生；中性螺旋lambda=0。</t>
        </is>
      </c>
    </row>
    <row r="8" ht="48" customHeight="1">
      <c r="A8" s="18" t="inlineStr">
        <is>
          <t>S07</t>
        </is>
      </c>
      <c r="B8" s="13" t="inlineStr">
        <is>
          <t>SST powered-lift/SCAS</t>
        </is>
      </c>
      <c r="C8" s="13" t="inlineStr">
        <is>
          <t>large transport concept</t>
        </is>
      </c>
      <c r="D8" s="13" t="inlineStr">
        <is>
          <t>approach, 153 kt</t>
        </is>
      </c>
      <c r="E8" s="13" t="inlineStr">
        <is>
          <t>piloted simulation configuration</t>
        </is>
      </c>
      <c r="F8" s="13" t="inlineStr">
        <is>
          <t>simulation lateral control</t>
        </is>
      </c>
      <c r="G8" s="13" t="n">
        <v>0.238</v>
      </c>
      <c r="H8" s="13" t="n">
        <v>0</v>
      </c>
      <c r="I8" s="13" t="n"/>
      <c r="J8" s="13" t="n"/>
      <c r="K8" s="13" t="inlineStr">
        <is>
          <t>neutral</t>
        </is>
      </c>
      <c r="L8" s="13" t="n"/>
      <c r="M8" s="13" t="n">
        <v>0.269</v>
      </c>
      <c r="N8" s="13" t="n">
        <v>0.617</v>
      </c>
      <c r="O8" s="13" t="n">
        <v>0.26093</v>
      </c>
      <c r="P8" s="13" t="n">
        <v>0.613298</v>
      </c>
      <c r="Q8" s="13" t="n">
        <v>0.994</v>
      </c>
      <c r="R8" s="13" t="n">
        <v>0.97</v>
      </c>
      <c r="S8" s="13" t="n"/>
      <c r="T8" s="13" t="n"/>
      <c r="U8" s="13" t="n"/>
      <c r="V8" s="13" t="inlineStr">
        <is>
          <t>Table V, PDF pp.48-49</t>
        </is>
      </c>
      <c r="W8" s="13" t="inlineStr">
        <is>
          <t>T_s由稳定半幅时间派生；中性螺旋lambda=0。</t>
        </is>
      </c>
    </row>
    <row r="9" ht="48" customHeight="1">
      <c r="A9" s="18" t="inlineStr">
        <is>
          <t>S07</t>
        </is>
      </c>
      <c r="B9" s="13" t="inlineStr">
        <is>
          <t>SST powered-lift/modified SCAS</t>
        </is>
      </c>
      <c r="C9" s="13" t="inlineStr">
        <is>
          <t>large transport concept</t>
        </is>
      </c>
      <c r="D9" s="13" t="inlineStr">
        <is>
          <t>approach, 153 kt</t>
        </is>
      </c>
      <c r="E9" s="13" t="inlineStr">
        <is>
          <t>piloted simulation configuration</t>
        </is>
      </c>
      <c r="F9" s="13" t="inlineStr">
        <is>
          <t>simulation lateral control</t>
        </is>
      </c>
      <c r="G9" s="13" t="n">
        <v>0.218</v>
      </c>
      <c r="H9" s="13" t="n">
        <v>0</v>
      </c>
      <c r="I9" s="13" t="n"/>
      <c r="J9" s="13" t="n"/>
      <c r="K9" s="13" t="inlineStr">
        <is>
          <t>neutral</t>
        </is>
      </c>
      <c r="L9" s="13" t="n"/>
      <c r="M9" s="13" t="n">
        <v>0.254</v>
      </c>
      <c r="N9" s="13" t="n">
        <v>0.528</v>
      </c>
      <c r="O9" s="13" t="n">
        <v>0.244094</v>
      </c>
      <c r="P9" s="13" t="n">
        <v>0.525888</v>
      </c>
      <c r="Q9" s="13" t="n">
        <v>0.996</v>
      </c>
      <c r="R9" s="13" t="n">
        <v>0.961</v>
      </c>
      <c r="S9" s="13" t="n"/>
      <c r="T9" s="13" t="n"/>
      <c r="U9" s="13" t="n"/>
      <c r="V9" s="13" t="inlineStr">
        <is>
          <t>Table V, PDF pp.48-49</t>
        </is>
      </c>
      <c r="W9" s="13" t="inlineStr">
        <is>
          <t>T_s由稳定半幅时间派生；中性螺旋lambda=0。</t>
        </is>
      </c>
    </row>
    <row r="10" ht="48" customHeight="1">
      <c r="A10" s="18" t="inlineStr">
        <is>
          <t>S06</t>
        </is>
      </c>
      <c r="B10" s="13" t="inlineStr">
        <is>
          <t>F-18 HARV lateral LOES</t>
        </is>
      </c>
      <c r="C10" s="13" t="inlineStr">
        <is>
          <t>fighter/high-alpha</t>
        </is>
      </c>
      <c r="D10" s="13" t="inlineStr">
        <is>
          <t>alpha=45 deg</t>
        </is>
      </c>
      <c r="E10" s="13" t="inlineStr">
        <is>
          <t>flight-test identification</t>
        </is>
      </c>
      <c r="F10" s="13" t="inlineStr">
        <is>
          <t>lateral stick/rudder</t>
        </is>
      </c>
      <c r="G10" s="13" t="n">
        <v>1.8</v>
      </c>
      <c r="H10" s="13" t="n">
        <v>-0.08695652173913043</v>
      </c>
      <c r="I10" s="13" t="n">
        <v>11.5</v>
      </c>
      <c r="J10" s="13" t="n"/>
      <c r="K10" s="13" t="inlineStr">
        <is>
          <t>stable T_s</t>
        </is>
      </c>
      <c r="L10" s="13" t="n">
        <v>0.0125</v>
      </c>
      <c r="M10" s="13" t="n">
        <v>0.72</v>
      </c>
      <c r="N10" s="13" t="n">
        <v>1.71</v>
      </c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Table 10, PDF p.62</t>
        </is>
      </c>
      <c r="W10" s="13" t="inlineStr">
        <is>
          <t>tau为横向操纵输入辨识时延；方向舵时延另为0.0588 s。</t>
        </is>
      </c>
    </row>
    <row r="11" ht="48" customHeight="1">
      <c r="A11" s="18" t="inlineStr">
        <is>
          <t>S09</t>
        </is>
      </c>
      <c r="B11" s="13" t="inlineStr">
        <is>
          <t>XV-15 airplane mode p/delta_a</t>
        </is>
      </c>
      <c r="C11" s="13" t="inlineStr">
        <is>
          <t>tiltrotor/fixed-wing mode</t>
        </is>
      </c>
      <c r="D11" s="13" t="inlineStr">
        <is>
          <t>cruise identification</t>
        </is>
      </c>
      <c r="E11" s="13" t="inlineStr">
        <is>
          <t>flight-test frequency-response identification</t>
        </is>
      </c>
      <c r="F11" s="13" t="inlineStr">
        <is>
          <t>aileron deflection, not force</t>
        </is>
      </c>
      <c r="G11" s="13" t="n">
        <v>0.9174311926605504</v>
      </c>
      <c r="H11" s="13" t="n">
        <v>-0.063</v>
      </c>
      <c r="I11" s="13" t="n">
        <v>15.87301587301587</v>
      </c>
      <c r="J11" s="13" t="n"/>
      <c r="K11" s="13" t="inlineStr">
        <is>
          <t>stable pole</t>
        </is>
      </c>
      <c r="L11" s="13" t="n">
        <v>0.045</v>
      </c>
      <c r="M11" s="13" t="n">
        <v>0.248</v>
      </c>
      <c r="N11" s="13" t="n">
        <v>1.58</v>
      </c>
      <c r="O11" s="13" t="n">
        <v>0.313</v>
      </c>
      <c r="P11" s="13" t="n">
        <v>1.89</v>
      </c>
      <c r="Q11" s="13" t="n">
        <v>1.19620253164557</v>
      </c>
      <c r="R11" s="13" t="n">
        <v>1.262096774193548</v>
      </c>
      <c r="S11" s="13" t="n"/>
      <c r="T11" s="13" t="n"/>
      <c r="U11" s="13" t="n"/>
      <c r="V11" s="13" t="inlineStr">
        <is>
          <t>PDF p.133 transfer function</t>
        </is>
      </c>
      <c r="W11" s="13" t="inlineStr">
        <is>
          <t>传函增益-4.49对应副翼偏角输入，不能当L_Fa。</t>
        </is>
      </c>
    </row>
    <row r="12" ht="48" customHeight="1">
      <c r="A12" s="18" t="inlineStr">
        <is>
          <t>S10</t>
        </is>
      </c>
      <c r="B12" s="13" t="inlineStr">
        <is>
          <t>Cessna 177B Cardinal</t>
        </is>
      </c>
      <c r="C12" s="13" t="inlineStr">
        <is>
          <t>light GA</t>
        </is>
      </c>
      <c r="D12" s="13" t="inlineStr">
        <is>
          <t>80 mph CAS</t>
        </is>
      </c>
      <c r="E12" s="13" t="inlineStr">
        <is>
          <t>flight test</t>
        </is>
      </c>
      <c r="F12" s="13" t="inlineStr">
        <is>
          <t>rudder excitation</t>
        </is>
      </c>
      <c r="G12" s="13" t="n"/>
      <c r="H12" s="13" t="n"/>
      <c r="I12" s="13" t="n"/>
      <c r="J12" s="13" t="n"/>
      <c r="K12" s="13" t="inlineStr"/>
      <c r="L12" s="13" t="n"/>
      <c r="M12" s="13" t="n">
        <v>0.5</v>
      </c>
      <c r="N12" s="13" t="n">
        <v>1.6</v>
      </c>
      <c r="O12" s="13" t="n"/>
      <c r="P12" s="13" t="n"/>
      <c r="Q12" s="13" t="n"/>
      <c r="R12" s="13" t="n"/>
      <c r="S12" s="13" t="n"/>
      <c r="T12" s="13" t="n"/>
      <c r="U12" s="13" t="n"/>
      <c r="V12" s="13" t="inlineStr">
        <is>
          <t>Dutch Roll Characteristics, PDF p.29</t>
        </is>
      </c>
      <c r="W12" s="13" t="inlineStr">
        <is>
          <t>zeta_d为下界（原文in excess of 0.5），不是精确点。</t>
        </is>
      </c>
    </row>
    <row r="13" ht="48" customHeight="1">
      <c r="A13" s="18" t="inlineStr">
        <is>
          <t>S10</t>
        </is>
      </c>
      <c r="B13" s="13" t="inlineStr">
        <is>
          <t>Cessna 177B Cardinal</t>
        </is>
      </c>
      <c r="C13" s="13" t="inlineStr">
        <is>
          <t>light GA</t>
        </is>
      </c>
      <c r="D13" s="13" t="inlineStr">
        <is>
          <t>120 mph CAS</t>
        </is>
      </c>
      <c r="E13" s="13" t="inlineStr">
        <is>
          <t>flight test</t>
        </is>
      </c>
      <c r="F13" s="13" t="inlineStr">
        <is>
          <t>rudder excitation</t>
        </is>
      </c>
      <c r="G13" s="13" t="n"/>
      <c r="H13" s="13" t="n"/>
      <c r="I13" s="13" t="n"/>
      <c r="J13" s="13" t="n"/>
      <c r="K13" s="13" t="inlineStr"/>
      <c r="L13" s="13" t="n"/>
      <c r="M13" s="13" t="n">
        <v>0.4</v>
      </c>
      <c r="N13" s="13" t="n">
        <v>2.1</v>
      </c>
      <c r="O13" s="13" t="n"/>
      <c r="P13" s="13" t="n"/>
      <c r="Q13" s="13" t="n"/>
      <c r="R13" s="13" t="n"/>
      <c r="S13" s="13" t="n"/>
      <c r="T13" s="13" t="n"/>
      <c r="U13" s="13" t="n"/>
      <c r="V13" s="13" t="inlineStr">
        <is>
          <t>Dutch Roll Characteristics, PDF p.29</t>
        </is>
      </c>
      <c r="W13" s="13" t="inlineStr">
        <is>
          <t>zeta_d为下界（原文in excess of 0.4），不是精确点。</t>
        </is>
      </c>
    </row>
    <row r="14" ht="48" customHeight="1">
      <c r="A14" s="18" t="inlineStr">
        <is>
          <t>S11</t>
        </is>
      </c>
      <c r="B14" s="13" t="inlineStr">
        <is>
          <t>Cessna 172 model comparison</t>
        </is>
      </c>
      <c r="C14" s="13" t="inlineStr">
        <is>
          <t>light GA model</t>
        </is>
      </c>
      <c r="D14" s="13" t="inlineStr">
        <is>
          <t>reference model</t>
        </is>
      </c>
      <c r="E14" s="13" t="inlineStr">
        <is>
          <t>model/analysis</t>
        </is>
      </c>
      <c r="F14" s="13" t="inlineStr">
        <is>
          <t>model</t>
        </is>
      </c>
      <c r="G14" s="13" t="n">
        <v>0.08</v>
      </c>
      <c r="H14" s="13" t="n">
        <v>-0.011</v>
      </c>
      <c r="I14" s="13" t="n">
        <v>90.90909090909092</v>
      </c>
      <c r="J14" s="13" t="n"/>
      <c r="K14" s="13" t="inlineStr">
        <is>
          <t>stable modal pole magnitude</t>
        </is>
      </c>
      <c r="L14" s="13" t="n"/>
      <c r="M14" s="13" t="n">
        <v>0.21</v>
      </c>
      <c r="N14" s="13" t="n">
        <v>3.38</v>
      </c>
      <c r="O14" s="13" t="n"/>
      <c r="P14" s="13" t="n"/>
      <c r="Q14" s="13" t="n"/>
      <c r="R14" s="13" t="n"/>
      <c r="S14" s="13" t="n"/>
      <c r="T14" s="13" t="n"/>
      <c r="U14" s="13" t="n"/>
      <c r="V14" s="13" t="inlineStr">
        <is>
          <t>Tables 78, 81, 82; PDF pp.270,273-274</t>
        </is>
      </c>
      <c r="W14" s="13" t="inlineStr">
        <is>
          <t>用于模型对照，不是本报告新做的飞行辨识。</t>
        </is>
      </c>
    </row>
    <row r="15" ht="48" customHeight="1">
      <c r="A15" s="18" t="inlineStr">
        <is>
          <t>S11</t>
        </is>
      </c>
      <c r="B15" s="13" t="inlineStr">
        <is>
          <t>UltraStick120</t>
        </is>
      </c>
      <c r="C15" s="13" t="inlineStr">
        <is>
          <t>small fixed-wing UAS</t>
        </is>
      </c>
      <c r="D15" s="13" t="inlineStr">
        <is>
          <t>23 m/s nominal</t>
        </is>
      </c>
      <c r="E15" s="13" t="inlineStr">
        <is>
          <t>model/analysis</t>
        </is>
      </c>
      <c r="F15" s="13" t="inlineStr">
        <is>
          <t>actuator command</t>
        </is>
      </c>
      <c r="G15" s="13" t="n">
        <v>0.109</v>
      </c>
      <c r="H15" s="13" t="n">
        <v>-0.0304</v>
      </c>
      <c r="I15" s="13" t="n">
        <v>32.89473684210526</v>
      </c>
      <c r="J15" s="13" t="n"/>
      <c r="K15" s="13" t="inlineStr">
        <is>
          <t>stable modal pole magnitude</t>
        </is>
      </c>
      <c r="L15" s="13" t="n"/>
      <c r="M15" s="13" t="n">
        <v>0.29</v>
      </c>
      <c r="N15" s="13" t="n">
        <v>3.99</v>
      </c>
      <c r="O15" s="13" t="n"/>
      <c r="P15" s="13" t="n"/>
      <c r="Q15" s="13" t="n"/>
      <c r="R15" s="13" t="n"/>
      <c r="S15" s="13" t="n"/>
      <c r="T15" s="13" t="n"/>
      <c r="U15" s="13" t="n"/>
      <c r="V15" s="13" t="inlineStr">
        <is>
          <t>Tables 78,81,82</t>
        </is>
      </c>
      <c r="W15" s="13" t="inlineStr">
        <is>
          <t>Table 78另一比较工况给omega_d=5.44。</t>
        </is>
      </c>
    </row>
    <row r="16" ht="48" customHeight="1">
      <c r="A16" s="18" t="inlineStr">
        <is>
          <t>S11</t>
        </is>
      </c>
      <c r="B16" s="13" t="inlineStr">
        <is>
          <t>UltraStick25e</t>
        </is>
      </c>
      <c r="C16" s="13" t="inlineStr">
        <is>
          <t>small fixed-wing UAS</t>
        </is>
      </c>
      <c r="D16" s="13" t="inlineStr">
        <is>
          <t>17 m/s nominal</t>
        </is>
      </c>
      <c r="E16" s="13" t="inlineStr">
        <is>
          <t>model/analysis</t>
        </is>
      </c>
      <c r="F16" s="13" t="inlineStr">
        <is>
          <t>actuator command</t>
        </is>
      </c>
      <c r="G16" s="13" t="n">
        <v>0.063</v>
      </c>
      <c r="H16" s="13" t="n">
        <v>-0.026</v>
      </c>
      <c r="I16" s="13" t="n">
        <v>38.46153846153846</v>
      </c>
      <c r="J16" s="13" t="n"/>
      <c r="K16" s="13" t="inlineStr">
        <is>
          <t>stable modal pole magnitude</t>
        </is>
      </c>
      <c r="L16" s="13" t="n"/>
      <c r="M16" s="13" t="n">
        <v>0.33</v>
      </c>
      <c r="N16" s="13" t="n">
        <v>5.59</v>
      </c>
      <c r="O16" s="13" t="n"/>
      <c r="P16" s="13" t="n"/>
      <c r="Q16" s="13" t="n"/>
      <c r="R16" s="13" t="n"/>
      <c r="S16" s="13" t="n"/>
      <c r="T16" s="13" t="n"/>
      <c r="U16" s="13" t="n"/>
      <c r="V16" s="13" t="inlineStr">
        <is>
          <t>Tables 79,81,82</t>
        </is>
      </c>
      <c r="W16" s="13" t="inlineStr">
        <is>
          <t>Table 79另一缩比比较工况给omega_d=7.85。</t>
        </is>
      </c>
    </row>
    <row r="17" ht="48" customHeight="1">
      <c r="A17" s="18" t="inlineStr">
        <is>
          <t>S12</t>
        </is>
      </c>
      <c r="B17" s="13" t="inlineStr">
        <is>
          <t>F-16XL DFLCS range</t>
        </is>
      </c>
      <c r="C17" s="13" t="inlineStr">
        <is>
          <t>fighter</t>
        </is>
      </c>
      <c r="D17" s="13" t="inlineStr">
        <is>
          <t>multiple flight conditions</t>
        </is>
      </c>
      <c r="E17" s="13" t="inlineStr">
        <is>
          <t>flight-test range</t>
        </is>
      </c>
      <c r="F17" s="13" t="inlineStr">
        <is>
          <t>force-command sidestick</t>
        </is>
      </c>
      <c r="G17" s="13" t="n">
        <v>0.21</v>
      </c>
      <c r="H17" s="13" t="n"/>
      <c r="I17" s="13" t="n"/>
      <c r="J17" s="13" t="n"/>
      <c r="K17" s="13" t="inlineStr"/>
      <c r="L17" s="13" t="n">
        <v>0.15</v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inlineStr">
        <is>
          <t>PDF p.18</t>
        </is>
      </c>
      <c r="W17" s="13" t="inlineStr">
        <is>
          <t>T_R范围下端；tau为约值。</t>
        </is>
      </c>
    </row>
    <row r="18" ht="48" customHeight="1">
      <c r="A18" s="18" t="inlineStr">
        <is>
          <t>S12</t>
        </is>
      </c>
      <c r="B18" s="13" t="inlineStr">
        <is>
          <t>F-16XL DFLCS range</t>
        </is>
      </c>
      <c r="C18" s="13" t="inlineStr">
        <is>
          <t>fighter</t>
        </is>
      </c>
      <c r="D18" s="13" t="inlineStr">
        <is>
          <t>multiple flight conditions</t>
        </is>
      </c>
      <c r="E18" s="13" t="inlineStr">
        <is>
          <t>flight-test range</t>
        </is>
      </c>
      <c r="F18" s="13" t="inlineStr">
        <is>
          <t>force-command sidestick</t>
        </is>
      </c>
      <c r="G18" s="13" t="n">
        <v>0.61</v>
      </c>
      <c r="H18" s="13" t="n"/>
      <c r="I18" s="13" t="n"/>
      <c r="J18" s="13" t="n"/>
      <c r="K18" s="13" t="inlineStr"/>
      <c r="L18" s="13" t="n">
        <v>0.15</v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inlineStr">
        <is>
          <t>PDF p.18</t>
        </is>
      </c>
      <c r="W18" s="13" t="inlineStr">
        <is>
          <t>T_R范围上端；tau为约值。</t>
        </is>
      </c>
    </row>
  </sheetData>
  <autoFilter ref="A1:W1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28" customWidth="1" min="11" max="11"/>
  </cols>
  <sheetData>
    <row r="1" ht="34" customHeight="1">
      <c r="A1" s="12" t="inlineStr">
        <is>
          <t>source_id</t>
        </is>
      </c>
      <c r="B1" s="12" t="inlineStr">
        <is>
          <t>vehicle</t>
        </is>
      </c>
      <c r="C1" s="12" t="inlineStr">
        <is>
          <t>condition</t>
        </is>
      </c>
      <c r="D1" s="12" t="inlineStr">
        <is>
          <t>parameter</t>
        </is>
      </c>
      <c r="E1" s="12" t="inlineStr">
        <is>
          <t>min</t>
        </is>
      </c>
      <c r="F1" s="12" t="inlineStr">
        <is>
          <t>nominal</t>
        </is>
      </c>
      <c r="G1" s="12" t="inlineStr">
        <is>
          <t>max</t>
        </is>
      </c>
      <c r="H1" s="12" t="inlineStr">
        <is>
          <t>unit</t>
        </is>
      </c>
      <c r="I1" s="12" t="inlineStr">
        <is>
          <t>fact_type</t>
        </is>
      </c>
      <c r="J1" s="12" t="inlineStr">
        <is>
          <t>locator</t>
        </is>
      </c>
      <c r="K1" s="12" t="inlineStr">
        <is>
          <t>notes</t>
        </is>
      </c>
    </row>
    <row r="2" ht="48" customHeight="1">
      <c r="A2" s="18" t="inlineStr">
        <is>
          <t>S04</t>
        </is>
      </c>
      <c r="B2" s="13" t="inlineStr">
        <is>
          <t>NT-33A/LATHOS</t>
        </is>
      </c>
      <c r="C2" s="13" t="inlineStr">
        <is>
          <t>up-and-away</t>
        </is>
      </c>
      <c r="D2" s="13" t="inlineStr">
        <is>
          <t>T_R design levels</t>
        </is>
      </c>
      <c r="E2" s="13" t="n">
        <v>0.15</v>
      </c>
      <c r="F2" s="13" t="n">
        <v>0.25</v>
      </c>
      <c r="G2" s="13" t="n">
        <v>0.4</v>
      </c>
      <c r="H2" s="13" t="inlineStr">
        <is>
          <t>s</t>
        </is>
      </c>
      <c r="I2" s="13" t="inlineStr">
        <is>
          <t>flight experiment matrix</t>
        </is>
      </c>
      <c r="J2" s="13" t="inlineStr">
        <is>
          <t>PDF pp.28,43-47</t>
        </is>
      </c>
      <c r="K2" s="13" t="inlineStr">
        <is>
          <t>离散档，不是概率分位数</t>
        </is>
      </c>
    </row>
    <row r="3" ht="48" customHeight="1">
      <c r="A3" s="18" t="inlineStr">
        <is>
          <t>S04</t>
        </is>
      </c>
      <c r="B3" s="13" t="inlineStr">
        <is>
          <t>NT-33A</t>
        </is>
      </c>
      <c r="C3" s="13" t="inlineStr">
        <is>
          <t>power approach</t>
        </is>
      </c>
      <c r="D3" s="13" t="inlineStr">
        <is>
          <t>T_R design levels</t>
        </is>
      </c>
      <c r="E3" s="13" t="n">
        <v>0.2</v>
      </c>
      <c r="F3" s="13" t="n">
        <v>0.3</v>
      </c>
      <c r="G3" s="13" t="n">
        <v>0.45</v>
      </c>
      <c r="H3" s="13" t="inlineStr">
        <is>
          <t>s</t>
        </is>
      </c>
      <c r="I3" s="13" t="inlineStr">
        <is>
          <t>flight experiment matrix</t>
        </is>
      </c>
      <c r="J3" s="13" t="inlineStr">
        <is>
          <t>PDF pp.43-47</t>
        </is>
      </c>
      <c r="K3" s="13" t="inlineStr">
        <is>
          <t>离散档</t>
        </is>
      </c>
    </row>
    <row r="4" ht="48" customHeight="1">
      <c r="A4" s="18" t="inlineStr">
        <is>
          <t>S04</t>
        </is>
      </c>
      <c r="B4" s="13" t="inlineStr">
        <is>
          <t>NT-33A/LATHOS</t>
        </is>
      </c>
      <c r="C4" s="13" t="inlineStr">
        <is>
          <t>force command</t>
        </is>
      </c>
      <c r="D4" s="13" t="inlineStr">
        <is>
          <t>K_p/F steady-state levels</t>
        </is>
      </c>
      <c r="E4" s="13" t="n">
        <v>5</v>
      </c>
      <c r="F4" s="13" t="n">
        <v>18</v>
      </c>
      <c r="G4" s="13" t="n">
        <v>25</v>
      </c>
      <c r="H4" s="13" t="inlineStr">
        <is>
          <t>deg/s/lbf</t>
        </is>
      </c>
      <c r="I4" s="13" t="inlineStr">
        <is>
          <t>flight experiment matrix</t>
        </is>
      </c>
      <c r="J4" s="13" t="inlineStr">
        <is>
          <t>PDF pp.32,43</t>
        </is>
      </c>
      <c r="K4" s="13" t="inlineStr">
        <is>
          <t>10/18常用核心；LATHOS含25，进近扩展含5</t>
        </is>
      </c>
    </row>
    <row r="5" ht="48" customHeight="1">
      <c r="A5" s="18" t="inlineStr">
        <is>
          <t>S04</t>
        </is>
      </c>
      <c r="B5" s="13" t="inlineStr">
        <is>
          <t>NT-33A/LATHOS</t>
        </is>
      </c>
      <c r="C5" s="13" t="inlineStr">
        <is>
          <t>force command</t>
        </is>
      </c>
      <c r="D5" s="13" t="inlineStr">
        <is>
          <t>L_Fa matrix extent</t>
        </is>
      </c>
      <c r="E5" s="13" t="n">
        <v>25</v>
      </c>
      <c r="F5" s="13" t="n"/>
      <c r="G5" s="13" t="n">
        <v>120</v>
      </c>
      <c r="H5" s="13" t="inlineStr">
        <is>
          <t>deg/s^2/lbf</t>
        </is>
      </c>
      <c r="I5" s="13" t="inlineStr">
        <is>
          <t>figure matrix design</t>
        </is>
      </c>
      <c r="J5" s="13" t="inlineStr">
        <is>
          <t>Figure 3, PDF p.28</t>
        </is>
      </c>
      <c r="K5" s="13" t="inlineStr">
        <is>
          <t>约0.0981-0.4708 rad/(N*s^2)；后续扩展的K=5档可条件派生到更低值</t>
        </is>
      </c>
    </row>
    <row r="6" ht="48" customHeight="1">
      <c r="A6" s="18" t="inlineStr">
        <is>
          <t>S04</t>
        </is>
      </c>
      <c r="B6" s="13" t="inlineStr">
        <is>
          <t>NT-33A</t>
        </is>
      </c>
      <c r="C6" s="13" t="inlineStr">
        <is>
          <t>feel-system variants</t>
        </is>
      </c>
      <c r="D6" s="13" t="inlineStr">
        <is>
          <t>feel-system natural frequency</t>
        </is>
      </c>
      <c r="E6" s="13" t="n">
        <v>8</v>
      </c>
      <c r="F6" s="13" t="n">
        <v>13</v>
      </c>
      <c r="G6" s="13" t="n">
        <v>26</v>
      </c>
      <c r="H6" s="13" t="inlineStr">
        <is>
          <t>rad/s</t>
        </is>
      </c>
      <c r="I6" s="13" t="inlineStr">
        <is>
          <t>flight experiment levels</t>
        </is>
      </c>
      <c r="J6" s="13" t="inlineStr">
        <is>
          <t>experiment configuration tables</t>
        </is>
      </c>
      <c r="K6" s="13" t="inlineStr">
        <is>
          <t>可用于Fdot敏感性，不是Fdot标准</t>
        </is>
      </c>
    </row>
    <row r="7" ht="48" customHeight="1">
      <c r="A7" s="18" t="inlineStr">
        <is>
          <t>S04</t>
        </is>
      </c>
      <c r="B7" s="13" t="inlineStr">
        <is>
          <t>NT-33A</t>
        </is>
      </c>
      <c r="C7" s="13" t="inlineStr">
        <is>
          <t>up-and-away</t>
        </is>
      </c>
      <c r="D7" s="13" t="inlineStr">
        <is>
          <t>Dutch-roll natural frequency</t>
        </is>
      </c>
      <c r="E7" s="13" t="n">
        <v>2.5</v>
      </c>
      <c r="F7" s="13" t="n">
        <v>2.5</v>
      </c>
      <c r="G7" s="13" t="n">
        <v>2.5</v>
      </c>
      <c r="H7" s="13" t="inlineStr">
        <is>
          <t>rad/s</t>
        </is>
      </c>
      <c r="I7" s="13" t="inlineStr">
        <is>
          <t>configured aircraft mode</t>
        </is>
      </c>
      <c r="J7" s="13" t="inlineStr">
        <is>
          <t>configuration description</t>
        </is>
      </c>
      <c r="K7" s="13" t="inlineStr">
        <is>
          <t>zeta约0.6，且p通道中尽量抑制</t>
        </is>
      </c>
    </row>
    <row r="8" ht="48" customHeight="1">
      <c r="A8" s="18" t="inlineStr">
        <is>
          <t>S04</t>
        </is>
      </c>
      <c r="B8" s="13" t="inlineStr">
        <is>
          <t>NT-33A</t>
        </is>
      </c>
      <c r="C8" s="13" t="inlineStr">
        <is>
          <t>power approach</t>
        </is>
      </c>
      <c r="D8" s="13" t="inlineStr">
        <is>
          <t>Dutch-roll natural frequency</t>
        </is>
      </c>
      <c r="E8" s="13" t="n">
        <v>2</v>
      </c>
      <c r="F8" s="13" t="n">
        <v>2</v>
      </c>
      <c r="G8" s="13" t="n">
        <v>2</v>
      </c>
      <c r="H8" s="13" t="inlineStr">
        <is>
          <t>rad/s</t>
        </is>
      </c>
      <c r="I8" s="13" t="inlineStr">
        <is>
          <t>configured aircraft mode</t>
        </is>
      </c>
      <c r="J8" s="13" t="inlineStr">
        <is>
          <t>configuration description</t>
        </is>
      </c>
      <c r="K8" s="13" t="inlineStr">
        <is>
          <t>zeta约0.6</t>
        </is>
      </c>
    </row>
    <row r="9" ht="48" customHeight="1">
      <c r="A9" s="18" t="inlineStr">
        <is>
          <t>S07</t>
        </is>
      </c>
      <c r="B9" s="13" t="inlineStr">
        <is>
          <t>SST concepts</t>
        </is>
      </c>
      <c r="C9" s="13" t="inlineStr">
        <is>
          <t>approach</t>
        </is>
      </c>
      <c r="D9" s="13" t="inlineStr">
        <is>
          <t>R_omega satisfactory</t>
        </is>
      </c>
      <c r="E9" s="13" t="n">
        <v>0.8</v>
      </c>
      <c r="F9" s="13" t="n">
        <v>1</v>
      </c>
      <c r="G9" s="13" t="n">
        <v>1.15</v>
      </c>
      <c r="H9" s="13" t="inlineStr">
        <is>
          <t>1</t>
        </is>
      </c>
      <c r="I9" s="13" t="inlineStr">
        <is>
          <t>handling-quality region</t>
        </is>
      </c>
      <c r="J9" s="13" t="inlineStr">
        <is>
          <t>discussion around Table V</t>
        </is>
      </c>
      <c r="K9" s="13" t="inlineStr">
        <is>
          <t>用于核心带</t>
        </is>
      </c>
    </row>
    <row r="10" ht="48" customHeight="1">
      <c r="A10" s="18" t="inlineStr">
        <is>
          <t>S07</t>
        </is>
      </c>
      <c r="B10" s="13" t="inlineStr">
        <is>
          <t>SST concepts</t>
        </is>
      </c>
      <c r="C10" s="13" t="inlineStr">
        <is>
          <t>approach</t>
        </is>
      </c>
      <c r="D10" s="13" t="inlineStr">
        <is>
          <t>R_omega acceptable</t>
        </is>
      </c>
      <c r="E10" s="13" t="n">
        <v>0.65</v>
      </c>
      <c r="F10" s="13" t="n">
        <v>1</v>
      </c>
      <c r="G10" s="13" t="n">
        <v>1.35</v>
      </c>
      <c r="H10" s="13" t="inlineStr">
        <is>
          <t>1</t>
        </is>
      </c>
      <c r="I10" s="13" t="inlineStr">
        <is>
          <t>handling-quality region</t>
        </is>
      </c>
      <c r="J10" s="13" t="inlineStr">
        <is>
          <t>discussion around Table V</t>
        </is>
      </c>
      <c r="K10" s="13" t="inlineStr">
        <is>
          <t>用于扩展带</t>
        </is>
      </c>
    </row>
    <row r="11" ht="48" customHeight="1">
      <c r="A11" s="18" t="inlineStr">
        <is>
          <t>S12</t>
        </is>
      </c>
      <c r="B11" s="13" t="inlineStr">
        <is>
          <t>F-16XL DFLCS</t>
        </is>
      </c>
      <c r="C11" s="13" t="inlineStr">
        <is>
          <t>flight test</t>
        </is>
      </c>
      <c r="D11" s="13" t="inlineStr">
        <is>
          <t>T_R</t>
        </is>
      </c>
      <c r="E11" s="13" t="n">
        <v>0.21</v>
      </c>
      <c r="F11" s="13" t="n"/>
      <c r="G11" s="13" t="n">
        <v>0.61</v>
      </c>
      <c r="H11" s="13" t="inlineStr">
        <is>
          <t>s</t>
        </is>
      </c>
      <c r="I11" s="13" t="inlineStr">
        <is>
          <t>flight-test observed range</t>
        </is>
      </c>
      <c r="J11" s="13" t="inlineStr">
        <is>
          <t>PDF p.18</t>
        </is>
      </c>
      <c r="K11" s="13" t="inlineStr">
        <is>
          <t>多飞行状态</t>
        </is>
      </c>
    </row>
    <row r="12" ht="48" customHeight="1">
      <c r="A12" s="18" t="inlineStr">
        <is>
          <t>S12</t>
        </is>
      </c>
      <c r="B12" s="13" t="inlineStr">
        <is>
          <t>F-16XL DFLCS</t>
        </is>
      </c>
      <c r="C12" s="13" t="inlineStr">
        <is>
          <t>flight test</t>
        </is>
      </c>
      <c r="D12" s="13" t="inlineStr">
        <is>
          <t>effective delay</t>
        </is>
      </c>
      <c r="E12" s="13" t="n">
        <v>0.15</v>
      </c>
      <c r="F12" s="13" t="n">
        <v>0.15</v>
      </c>
      <c r="G12" s="13" t="n">
        <v>0.15</v>
      </c>
      <c r="H12" s="13" t="inlineStr">
        <is>
          <t>s</t>
        </is>
      </c>
      <c r="I12" s="13" t="inlineStr">
        <is>
          <t>approximate flight-test value</t>
        </is>
      </c>
      <c r="J12" s="13" t="inlineStr">
        <is>
          <t>PDF p.18</t>
        </is>
      </c>
      <c r="K12" s="13" t="inlineStr">
        <is>
          <t>等效时延</t>
        </is>
      </c>
    </row>
    <row r="13" ht="48" customHeight="1">
      <c r="A13" s="18" t="inlineStr">
        <is>
          <t>S13</t>
        </is>
      </c>
      <c r="B13" s="13" t="inlineStr">
        <is>
          <t>fighter concept/F-16-based</t>
        </is>
      </c>
      <c r="C13" s="13" t="inlineStr">
        <is>
          <t>normal control law</t>
        </is>
      </c>
      <c r="D13" s="13" t="inlineStr">
        <is>
          <t>maximum commanded roll rate</t>
        </is>
      </c>
      <c r="E13" s="13" t="n">
        <v>308</v>
      </c>
      <c r="F13" s="13" t="n">
        <v>308</v>
      </c>
      <c r="G13" s="13" t="n">
        <v>308</v>
      </c>
      <c r="H13" s="13" t="inlineStr">
        <is>
          <t>deg/s</t>
        </is>
      </c>
      <c r="I13" s="13" t="inlineStr">
        <is>
          <t>simulator control-law limit</t>
        </is>
      </c>
      <c r="J13" s="13" t="inlineStr">
        <is>
          <t>PDF pp.25,40</t>
        </is>
      </c>
      <c r="K13" s="13" t="inlineStr">
        <is>
          <t>高迎角调度可降到约90或165</t>
        </is>
      </c>
    </row>
    <row r="14" ht="48" customHeight="1">
      <c r="A14" s="18" t="inlineStr">
        <is>
          <t>S14</t>
        </is>
      </c>
      <c r="B14" s="13" t="inlineStr">
        <is>
          <t>F-16XL-2</t>
        </is>
      </c>
      <c r="C14" s="13" t="inlineStr">
        <is>
          <t>rolling maneuver</t>
        </is>
      </c>
      <c r="D14" s="13" t="inlineStr">
        <is>
          <t>maximum commanded roll rate</t>
        </is>
      </c>
      <c r="E14" s="13" t="n">
        <v>300</v>
      </c>
      <c r="F14" s="13" t="n">
        <v>300</v>
      </c>
      <c r="G14" s="13" t="n">
        <v>300</v>
      </c>
      <c r="H14" s="13" t="inlineStr">
        <is>
          <t>deg/s</t>
        </is>
      </c>
      <c r="I14" s="13" t="inlineStr">
        <is>
          <t>flight control-law mapping</t>
        </is>
      </c>
      <c r="J14" s="13" t="inlineStr">
        <is>
          <t>control system description</t>
        </is>
      </c>
      <c r="K14" s="13" t="inlineStr">
        <is>
          <t>约9 lbf及以上到最大；breakout约1 lbf</t>
        </is>
      </c>
    </row>
    <row r="15" ht="48" customHeight="1">
      <c r="A15" s="18" t="inlineStr">
        <is>
          <t>S02</t>
        </is>
      </c>
      <c r="B15" s="13" t="inlineStr">
        <is>
          <t>piloted aircraft</t>
        </is>
      </c>
      <c r="C15" s="13" t="inlineStr">
        <is>
          <t>centerstick Level 1</t>
        </is>
      </c>
      <c r="D15" s="13" t="inlineStr">
        <is>
          <t>maximum roll force</t>
        </is>
      </c>
      <c r="E15" s="13" t="n">
        <v>20</v>
      </c>
      <c r="F15" s="13" t="n"/>
      <c r="G15" s="13" t="n">
        <v>25</v>
      </c>
      <c r="H15" s="13" t="inlineStr">
        <is>
          <t>lbf</t>
        </is>
      </c>
      <c r="I15" s="13" t="inlineStr">
        <is>
          <t>guidance boundary</t>
        </is>
      </c>
      <c r="J15" s="13" t="inlineStr">
        <is>
          <t>Table XXXVI</t>
        </is>
      </c>
      <c r="K15" s="13" t="inlineStr">
        <is>
          <t>按类别/阶段；约89-111 N</t>
        </is>
      </c>
    </row>
    <row r="16" ht="48" customHeight="1">
      <c r="A16" s="18" t="inlineStr">
        <is>
          <t>S02</t>
        </is>
      </c>
      <c r="B16" s="13" t="inlineStr">
        <is>
          <t>piloted aircraft</t>
        </is>
      </c>
      <c r="C16" s="13" t="inlineStr">
        <is>
          <t>centerstick Level 3</t>
        </is>
      </c>
      <c r="D16" s="13" t="inlineStr">
        <is>
          <t>maximum roll force</t>
        </is>
      </c>
      <c r="E16" s="13" t="n">
        <v>35</v>
      </c>
      <c r="F16" s="13" t="n">
        <v>35</v>
      </c>
      <c r="G16" s="13" t="n">
        <v>35</v>
      </c>
      <c r="H16" s="13" t="inlineStr">
        <is>
          <t>lbf</t>
        </is>
      </c>
      <c r="I16" s="13" t="inlineStr">
        <is>
          <t>guidance boundary</t>
        </is>
      </c>
      <c r="J16" s="13" t="inlineStr">
        <is>
          <t>Table XXXVI</t>
        </is>
      </c>
      <c r="K16" s="13" t="inlineStr">
        <is>
          <t>约156 N</t>
        </is>
      </c>
    </row>
    <row r="17" ht="48" customHeight="1">
      <c r="A17" s="18" t="inlineStr">
        <is>
          <t>S11</t>
        </is>
      </c>
      <c r="B17" s="13" t="inlineStr">
        <is>
          <t>UltraStick25e</t>
        </is>
      </c>
      <c r="C17" s="13" t="inlineStr">
        <is>
          <t>scaled comparison case</t>
        </is>
      </c>
      <c r="D17" s="13" t="inlineStr">
        <is>
          <t>omega_d</t>
        </is>
      </c>
      <c r="E17" s="13" t="n">
        <v>7.85</v>
      </c>
      <c r="F17" s="13" t="n">
        <v>7.85</v>
      </c>
      <c r="G17" s="13" t="n">
        <v>7.85</v>
      </c>
      <c r="H17" s="13" t="inlineStr">
        <is>
          <t>rad/s</t>
        </is>
      </c>
      <c r="I17" s="13" t="inlineStr">
        <is>
          <t>model/scale analysis</t>
        </is>
      </c>
      <c r="J17" s="13" t="inlineStr">
        <is>
          <t>Table 79, PDF p.270</t>
        </is>
      </c>
      <c r="K17" s="13" t="inlineStr">
        <is>
          <t>仅用于UAS高频扩展</t>
        </is>
      </c>
    </row>
  </sheetData>
  <autoFilter ref="A1:K1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12" t="inlineStr">
        <is>
          <t>parameter</t>
        </is>
      </c>
      <c r="B1" s="12" t="inlineStr">
        <is>
          <t>current_project</t>
        </is>
      </c>
      <c r="C1" s="12" t="inlineStr">
        <is>
          <t>evidence_recommendation</t>
        </is>
      </c>
      <c r="D1" s="12" t="inlineStr">
        <is>
          <t>assessment</t>
        </is>
      </c>
      <c r="E1" s="12" t="inlineStr">
        <is>
          <t>action</t>
        </is>
      </c>
    </row>
    <row r="2" ht="48" customHeight="1">
      <c r="A2" s="13" t="inlineStr">
        <is>
          <t>L / L_Fa</t>
        </is>
      </c>
      <c r="B2" s="13" t="inlineStr">
        <is>
          <t>L=1/(T_R*R_omega^2)，使三阶G(0)=1</t>
        </is>
      </c>
      <c r="C2" s="13" t="inlineStr">
        <is>
          <t>改为先定义物理K_p/F和F_as单位，再派生L_Fa</t>
        </is>
      </c>
      <c r="D2" s="13" t="inlineStr">
        <is>
          <t>必须重构（若要物理量纲）</t>
        </is>
      </c>
      <c r="E2" s="13" t="inlineStr">
        <is>
          <t>保留normalized_gain供旧实验；新增L_Fa_SI、K_pF_SI、input_definition字段</t>
        </is>
      </c>
    </row>
    <row r="3" ht="48" customHeight="1">
      <c r="A3" s="13" t="inlineStr">
        <is>
          <t>T_R</t>
        </is>
      </c>
      <c r="B3" s="13" t="inlineStr">
        <is>
          <t>锚点0.3/0.8/1.4/2.5，±8% -&gt; 0.276-2.70 s</t>
        </is>
      </c>
      <c r="C3" s="13" t="inlineStr">
        <is>
          <t>有人core约0.15-1.8；2.0-3.0属于慢端压力</t>
        </is>
      </c>
      <c r="D3" s="13" t="inlineStr">
        <is>
          <t>覆盖合理，但2.5档应标OOD/Level边界</t>
        </is>
      </c>
      <c r="E3" s="13" t="inlineStr">
        <is>
          <t>按机类和A18情景分桶，不让四档等概率冒充真实分布</t>
        </is>
      </c>
    </row>
    <row r="4" ht="48" customHeight="1">
      <c r="A4" s="13" t="inlineStr">
        <is>
          <t>tau_p</t>
        </is>
      </c>
      <c r="B4" s="13" t="inlineStr">
        <is>
          <t>0.03/0.08/0.15 s等权设计轴</t>
        </is>
      </c>
      <c r="C4" s="13" t="inlineStr">
        <is>
          <t>0.01-0.10核心；0.10-0.20高延迟</t>
        </is>
      </c>
      <c r="D4" s="13" t="inlineStr">
        <is>
          <t>数值落在证据包络内，语义需重标</t>
        </is>
      </c>
      <c r="E4" s="13" t="inlineStr">
        <is>
          <t>0.15标high-delay/OOD；增加delay_definition和fractional-delay说明</t>
        </is>
      </c>
    </row>
    <row r="5" ht="48" customHeight="1">
      <c r="A5" s="13" t="inlineStr">
        <is>
          <t>zeta_d</t>
        </is>
      </c>
      <c r="B5" s="13" t="inlineStr">
        <is>
          <t>0.05/0.10/0.20/0.35，±8% -&gt; 0.046-0.378</t>
        </is>
      </c>
      <c r="C5" s="13" t="inlineStr">
        <is>
          <t>core 0.08-0.50；0.02-0.08低阻尼压力；高迎角可到0.8</t>
        </is>
      </c>
      <c r="D5" s="13" t="inlineStr">
        <is>
          <t>偏向低阻尼压力，缺少高阻尼实机区</t>
        </is>
      </c>
      <c r="E5" s="13" t="inlineStr">
        <is>
          <t>保留0.05作压力，新增0.5/0.7场景并与omega_d联合分级</t>
        </is>
      </c>
    </row>
    <row r="6" ht="48" customHeight="1">
      <c r="A6" s="13" t="inlineStr">
        <is>
          <t>omega_d</t>
        </is>
      </c>
      <c r="B6" s="13" t="inlineStr">
        <is>
          <t>0.8/1.5/2.5/3.5，±8% -&gt; 0.736-3.78 rad/s</t>
        </is>
      </c>
      <c r="C6" s="13" t="inlineStr">
        <is>
          <t>有人0.5-3.5；UAS可更高</t>
        </is>
      </c>
      <c r="D6" s="13" t="inlineStr">
        <is>
          <t>有人机覆盖基本合理；略缺0.4-0.7边界</t>
        </is>
      </c>
      <c r="E6" s="13" t="inlineStr">
        <is>
          <t>运输/Level边界增加0.4-0.7；UAS另建场景，不混在同一总体</t>
        </is>
      </c>
    </row>
    <row r="7" ht="48" customHeight="1">
      <c r="A7" s="13" t="inlineStr">
        <is>
          <t>R_omega</t>
        </is>
      </c>
      <c r="B7" s="13" t="inlineStr">
        <is>
          <t>0.70/0.85/1.00/1.15/1.35，±8% -&gt; 0.644-1.458</t>
        </is>
      </c>
      <c r="C7" s="13" t="inlineStr">
        <is>
          <t>0.80-1.15核心；0.65-1.35扩展</t>
        </is>
      </c>
      <c r="D7" s="13" t="inlineStr">
        <is>
          <t>设计逻辑有依据，抖动尾部略超可接受带</t>
        </is>
      </c>
      <c r="E7" s="13" t="inlineStr">
        <is>
          <t>核心截断0.80-1.15；0.65-1.35单独尾桶；1.35再+8%仅OOD</t>
        </is>
      </c>
    </row>
    <row r="8" ht="48" customHeight="1">
      <c r="A8" s="13" t="inlineStr">
        <is>
          <t>zeta_phi / Delta zeta</t>
        </is>
      </c>
      <c r="B8" s="13" t="inlineStr">
        <is>
          <t>Delta zeta=-0.10/0/+0.10；zeta_phi=zeta_d+Delta</t>
        </is>
      </c>
      <c r="C8" s="13" t="inlineStr">
        <is>
          <t>zeta_phi核心0.20-0.35，压力0.10-0.70；R_zeta仅派生</t>
        </is>
      </c>
      <c r="D8" s="13" t="inlineStr">
        <is>
          <t>低zeta_d配-0.10可产生非正零点阻尼</t>
        </is>
      </c>
      <c r="E8" s="13" t="inlineStr">
        <is>
          <t>优先直接采zeta_phi；或条件截断Delta并保存reject_reason</t>
        </is>
      </c>
    </row>
    <row r="9" ht="48" customHeight="1">
      <c r="A9" s="13" t="inlineStr">
        <is>
          <t>T_s / lambda_s</t>
        </is>
      </c>
      <c r="B9" s="13" t="inlineStr">
        <is>
          <t>T_s=-8/-14/-25/+15/+30/+60 s，lambda=-1/T_s</t>
        </is>
      </c>
      <c r="C9" s="13" t="inlineStr">
        <is>
          <t>主存lambda；发散直接采T2；稳定/中性/发散分类</t>
        </is>
      </c>
      <c r="D9" s="13" t="inlineStr">
        <is>
          <t>符号实现正确，但-8 s对应T2=5.55 s，属于较差压力</t>
        </is>
      </c>
      <c r="E9" s="13" t="inlineStr">
        <is>
          <t>数据库改存lambda_s、spiral_state、T2；T_s只作为派生显示</t>
        </is>
      </c>
    </row>
  </sheetData>
  <autoFilter ref="A1:E9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2" t="inlineStr">
        <is>
          <t>quantity</t>
        </is>
      </c>
      <c r="B1" s="12" t="inlineStr">
        <is>
          <t>from</t>
        </is>
      </c>
      <c r="C1" s="12" t="inlineStr">
        <is>
          <t>to</t>
        </is>
      </c>
      <c r="D1" s="12" t="inlineStr">
        <is>
          <t>factor</t>
        </is>
      </c>
      <c r="E1" s="12" t="inlineStr">
        <is>
          <t>example</t>
        </is>
      </c>
    </row>
    <row r="2" ht="48" customHeight="1">
      <c r="A2" s="13" t="inlineStr">
        <is>
          <t>force</t>
        </is>
      </c>
      <c r="B2" s="13" t="inlineStr">
        <is>
          <t>1 lbf</t>
        </is>
      </c>
      <c r="C2" s="13" t="inlineStr">
        <is>
          <t>N</t>
        </is>
      </c>
      <c r="D2" s="13" t="n">
        <v>4.4482216152605</v>
      </c>
      <c r="E2" s="13" t="inlineStr">
        <is>
          <t>20 lbf = 88.964 N</t>
        </is>
      </c>
    </row>
    <row r="3" ht="48" customHeight="1">
      <c r="A3" s="13" t="inlineStr">
        <is>
          <t>angular rate</t>
        </is>
      </c>
      <c r="B3" s="13" t="inlineStr">
        <is>
          <t>1 deg/s</t>
        </is>
      </c>
      <c r="C3" s="13" t="inlineStr">
        <is>
          <t>rad/s</t>
        </is>
      </c>
      <c r="D3" s="13" t="n">
        <v>0.0174532925199433</v>
      </c>
      <c r="E3" s="13" t="inlineStr">
        <is>
          <t>300 deg/s = 5.236 rad/s</t>
        </is>
      </c>
    </row>
    <row r="4" ht="48" customHeight="1">
      <c r="A4" s="13" t="inlineStr">
        <is>
          <t>K_pF</t>
        </is>
      </c>
      <c r="B4" s="13" t="inlineStr">
        <is>
          <t>1 (deg/s)/lbf</t>
        </is>
      </c>
      <c r="C4" s="13" t="inlineStr">
        <is>
          <t>(rad/s)/N</t>
        </is>
      </c>
      <c r="D4" s="13" t="n">
        <v>0.003923656245018535</v>
      </c>
      <c r="E4" s="13" t="inlineStr">
        <is>
          <t>10 -&gt; 0.03923; 18 -&gt; 0.07061</t>
        </is>
      </c>
    </row>
    <row r="5" ht="48" customHeight="1">
      <c r="A5" s="13" t="inlineStr">
        <is>
          <t>L_Fa</t>
        </is>
      </c>
      <c r="B5" s="13" t="inlineStr">
        <is>
          <t>1 (deg/s^2)/lbf</t>
        </is>
      </c>
      <c r="C5" s="13" t="inlineStr">
        <is>
          <t>rad/(N*s^2)</t>
        </is>
      </c>
      <c r="D5" s="13" t="n">
        <v>0.003923656245018535</v>
      </c>
      <c r="E5" s="13" t="inlineStr">
        <is>
          <t>120 -&gt; 0.47076</t>
        </is>
      </c>
    </row>
    <row r="6" ht="48" customHeight="1">
      <c r="A6" s="13" t="inlineStr">
        <is>
          <t>stable spiral</t>
        </is>
      </c>
      <c r="B6" s="13" t="inlineStr">
        <is>
          <t>time-to-half t1/2</t>
        </is>
      </c>
      <c r="C6" s="13" t="inlineStr">
        <is>
          <t>lambda_s</t>
        </is>
      </c>
      <c r="D6" s="13" t="n"/>
      <c r="E6" s="13" t="inlineStr">
        <is>
          <t>lambda_s=-ln(2)/t1/2</t>
        </is>
      </c>
    </row>
    <row r="7" ht="48" customHeight="1">
      <c r="A7" s="13" t="inlineStr">
        <is>
          <t>divergent spiral</t>
        </is>
      </c>
      <c r="B7" s="13" t="inlineStr">
        <is>
          <t>time-to-double T2</t>
        </is>
      </c>
      <c r="C7" s="13" t="inlineStr">
        <is>
          <t>lambda_s</t>
        </is>
      </c>
      <c r="D7" s="13" t="n"/>
      <c r="E7" s="13" t="inlineStr">
        <is>
          <t>lambda_s=+ln(2)/T2</t>
        </is>
      </c>
    </row>
    <row r="8" ht="48" customHeight="1">
      <c r="A8" s="13" t="inlineStr">
        <is>
          <t>signed project T_s</t>
        </is>
      </c>
      <c r="B8" s="13" t="inlineStr">
        <is>
          <t>T_s</t>
        </is>
      </c>
      <c r="C8" s="13" t="inlineStr">
        <is>
          <t>lambda_s</t>
        </is>
      </c>
      <c r="D8" s="13" t="n"/>
      <c r="E8" s="13" t="inlineStr">
        <is>
          <t>lambda_s=-1/T_s; T_s&gt;0 stable</t>
        </is>
      </c>
    </row>
    <row r="9" ht="48" customHeight="1">
      <c r="A9" s="13" t="inlineStr">
        <is>
          <t>quasi-steady roll sensitivity</t>
        </is>
      </c>
      <c r="B9" s="13" t="inlineStr">
        <is>
          <t>LOES parameters</t>
        </is>
      </c>
      <c r="C9" s="13" t="inlineStr">
        <is>
          <t>K_pF</t>
        </is>
      </c>
      <c r="D9" s="13" t="n"/>
      <c r="E9" s="13" t="inlineStr">
        <is>
          <t>K_pF≈L_Fa*T_R*(omega_phi/omega_d)^2 above spiral frequency</t>
        </is>
      </c>
    </row>
  </sheetData>
  <autoFilter ref="A1:E9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14" customWidth="1" min="5" max="5"/>
    <col width="14" customWidth="1" min="6" max="6"/>
    <col width="28" customWidth="1" min="7" max="7"/>
    <col width="34" customWidth="1" min="8" max="8"/>
    <col width="28" customWidth="1" min="9" max="9"/>
    <col width="34" customWidth="1" min="10" max="10"/>
    <col width="34" customWidth="1" min="11" max="11"/>
    <col width="28" customWidth="1" min="12" max="12"/>
  </cols>
  <sheetData>
    <row r="1" ht="34" customHeight="1">
      <c r="A1" s="12" t="inlineStr">
        <is>
          <t>source_id</t>
        </is>
      </c>
      <c r="B1" s="12" t="inlineStr">
        <is>
          <t>evidence_tier</t>
        </is>
      </c>
      <c r="C1" s="12" t="inlineStr">
        <is>
          <t>source</t>
        </is>
      </c>
      <c r="D1" s="12" t="inlineStr">
        <is>
          <t>year</t>
        </is>
      </c>
      <c r="E1" s="12" t="inlineStr">
        <is>
          <t>document_id</t>
        </is>
      </c>
      <c r="F1" s="12" t="inlineStr">
        <is>
          <t>data_type</t>
        </is>
      </c>
      <c r="G1" s="12" t="inlineStr">
        <is>
          <t>scope</t>
        </is>
      </c>
      <c r="H1" s="12" t="inlineStr">
        <is>
          <t>locator</t>
        </is>
      </c>
      <c r="I1" s="12" t="inlineStr">
        <is>
          <t>supports</t>
        </is>
      </c>
      <c r="J1" s="12" t="inlineStr">
        <is>
          <t>url</t>
        </is>
      </c>
      <c r="K1" s="12" t="inlineStr">
        <is>
          <t>direct_pdf</t>
        </is>
      </c>
      <c r="L1" s="12" t="inlineStr">
        <is>
          <t>notes</t>
        </is>
      </c>
    </row>
    <row r="2" ht="48" customHeight="1">
      <c r="A2" s="13" t="inlineStr">
        <is>
          <t>S01</t>
        </is>
      </c>
      <c r="B2" s="13" t="inlineStr">
        <is>
          <t>标准原文（本地扫描件）</t>
        </is>
      </c>
      <c r="C2" s="13" t="inlineStr">
        <is>
          <t>GJB 2874-97《电传操纵系统飞机的飞行品质》</t>
        </is>
      </c>
      <c r="D2" s="13" t="n">
        <v>1997</v>
      </c>
      <c r="E2" s="13" t="inlineStr">
        <is>
          <t>GJB 2874-97</t>
        </is>
      </c>
      <c r="F2" s="13" t="inlineStr">
        <is>
          <t>飞行品质标准</t>
        </is>
      </c>
      <c r="G2" s="13" t="inlineStr">
        <is>
          <t>飞机分类、飞行阶段、LOES 模型、T_R、螺旋、荷兰滚和时延背景</t>
        </is>
      </c>
      <c r="H2" s="13" t="inlineStr">
        <is>
          <t>附录A表A18、A19、A35；本包 evidence/ 内有关键页</t>
        </is>
      </c>
      <c r="I2" s="13" t="inlineStr">
        <is>
          <t>品质边界和符号定义；不提供真实机队联合概率分布</t>
        </is>
      </c>
      <c r="J2" s="18" t="inlineStr">
        <is>
          <t>https://std.nscmi.com/pages/StdDataMore.aspx?id=b22a1b8b412089a84e5a0a3118213b01</t>
        </is>
      </c>
      <c r="K2" s="13" t="inlineStr">
        <is>
          <t>../../reference/GJB_2874-1997_电传操纵系统飞机的飞行品质.pdf</t>
        </is>
      </c>
      <c r="L2" s="13" t="inlineStr">
        <is>
          <t>标准边界不能直接当作采样分布。</t>
        </is>
      </c>
    </row>
    <row r="3" ht="48" customHeight="1">
      <c r="A3" s="13" t="inlineStr">
        <is>
          <t>S02</t>
        </is>
      </c>
      <c r="B3" s="13" t="inlineStr">
        <is>
          <t>官方军标指南元数据/指南表</t>
        </is>
      </c>
      <c r="C3" s="13" t="inlineStr">
        <is>
          <t>MIL-HDBK-1797, Flying Qualities of Piloted Aircraft</t>
        </is>
      </c>
      <c r="D3" s="13" t="n">
        <v>1997</v>
      </c>
      <c r="E3" s="13" t="inlineStr">
        <is>
          <t>MIL-HDBK-1797</t>
        </is>
      </c>
      <c r="F3" s="13" t="inlineStr">
        <is>
          <t>DoD 指南</t>
        </is>
      </c>
      <c r="G3" s="13" t="inlineStr">
        <is>
          <t>等效滚转时延、操纵力、滚转灵敏度、模态品质边界</t>
        </is>
      </c>
      <c r="H3" s="13" t="inlineStr">
        <is>
          <t>Tables XXV, XXVII, XXXVI, XXXVII, XL</t>
        </is>
      </c>
      <c r="I3" s="13" t="inlineStr">
        <is>
          <t>与GJB边界交叉核对；给出时延和操纵力指南</t>
        </is>
      </c>
      <c r="J3" s="18" t="inlineStr">
        <is>
          <t>https://quicksearch.dla.mil/qsDocDetails.aspx?ident_number=208700</t>
        </is>
      </c>
      <c r="K3" s="13" t="inlineStr"/>
      <c r="L3" s="13" t="inlineStr">
        <is>
          <t>指南值是品质要求，不是机队分布。</t>
        </is>
      </c>
    </row>
    <row r="4" ht="48" customHeight="1">
      <c r="A4" s="13" t="inlineStr">
        <is>
          <t>S03</t>
        </is>
      </c>
      <c r="B4" s="13" t="inlineStr">
        <is>
          <t>官方军标元数据</t>
        </is>
      </c>
      <c r="C4" s="13" t="inlineStr">
        <is>
          <t>MIL-STD-1797B, Flying Qualities of Piloted Aircraft</t>
        </is>
      </c>
      <c r="D4" s="13" t="n">
        <v>2006</v>
      </c>
      <c r="E4" s="13" t="inlineStr">
        <is>
          <t>MIL-STD-1797B</t>
        </is>
      </c>
      <c r="F4" s="13" t="inlineStr">
        <is>
          <t>DoD 标准</t>
        </is>
      </c>
      <c r="G4" s="13" t="inlineStr">
        <is>
          <t>当前版本状态与标准适用背景</t>
        </is>
      </c>
      <c r="H4" s="13" t="inlineStr">
        <is>
          <t>DLA ASSIST document details</t>
        </is>
      </c>
      <c r="I4" s="13" t="inlineStr">
        <is>
          <t>确认标准版本；本包数表主要转录自可核对的GJB扫描件和手册</t>
        </is>
      </c>
      <c r="J4" s="18" t="inlineStr">
        <is>
          <t>https://quicksearch.dla.mil/qsDocDetails.aspx?ident_number=70037</t>
        </is>
      </c>
      <c r="K4" s="13" t="inlineStr"/>
      <c r="L4" s="13" t="inlineStr">
        <is>
          <t>不要把不同版次的表号混用。</t>
        </is>
      </c>
    </row>
    <row r="5" ht="48" customHeight="1">
      <c r="A5" s="13" t="inlineStr">
        <is>
          <t>S04</t>
        </is>
      </c>
      <c r="B5" s="13" t="inlineStr">
        <is>
          <t>P1：有人在环变稳飞机飞行试验</t>
        </is>
      </c>
      <c r="C5" s="13" t="inlineStr">
        <is>
          <t>Interaction of Feel System and Flight Control System Dynamics on Lateral Flying Qualities</t>
        </is>
      </c>
      <c r="D5" s="13" t="n">
        <v>1990</v>
      </c>
      <c r="E5" s="13" t="inlineStr">
        <is>
          <t>NASA CR-179445</t>
        </is>
      </c>
      <c r="F5" s="13" t="inlineStr">
        <is>
          <t>NT-33A 在飞实验/LATHOS</t>
        </is>
      </c>
      <c r="G5" s="13" t="inlineStr">
        <is>
          <t>力指令滚转灵敏度、T_R、力感系统频率、延迟与飞行品质交互</t>
        </is>
      </c>
      <c r="H5" s="13" t="inlineStr">
        <is>
          <t>PDF pp. 27-32, 42-49, 154-180</t>
        </is>
      </c>
      <c r="I5" s="13" t="inlineStr">
        <is>
          <t>K_p/F=5,10,18,25 deg/s/lbf；T_R约0.15-0.45 s；力感频率8/13/26 rad/s</t>
        </is>
      </c>
      <c r="J5" s="18" t="inlineStr">
        <is>
          <t>https://ntrs.nasa.gov/citations/19910005040</t>
        </is>
      </c>
      <c r="K5" s="18" t="inlineStr">
        <is>
          <t>https://ntrs.nasa.gov/api/citations/19910005040/downloads/19910005040.pdf</t>
        </is>
      </c>
      <c r="L5" s="13" t="inlineStr">
        <is>
          <t>L_Fa上界约120 deg/s^2/lbf来自试验矩阵图读数，记为近似值。</t>
        </is>
      </c>
    </row>
    <row r="6" ht="48" customHeight="1">
      <c r="A6" s="13" t="inlineStr">
        <is>
          <t>S05</t>
        </is>
      </c>
      <c r="B6" s="13" t="inlineStr">
        <is>
          <t>P1：飞行试验综述</t>
        </is>
      </c>
      <c r="C6" s="13" t="inlineStr">
        <is>
          <t>Effect of Time Delay on Flying Qualities: An Update</t>
        </is>
      </c>
      <c r="D6" s="13" t="n">
        <v>1986</v>
      </c>
      <c r="E6" s="13" t="inlineStr">
        <is>
          <t>NASA TM-88264</t>
        </is>
      </c>
      <c r="F6" s="13" t="inlineStr">
        <is>
          <t>飞行试验/在飞模拟综述</t>
        </is>
      </c>
      <c r="G6" s="13" t="inlineStr">
        <is>
          <t>等效时延与响应形状、T_R、力感系统动态的交互</t>
        </is>
      </c>
      <c r="H6" s="13" t="inlineStr">
        <is>
          <t>PDF pp. 3-8</t>
        </is>
      </c>
      <c r="I6" s="13" t="inlineStr">
        <is>
          <t>时延不可脱离T_R和响应灵敏度独立判定；试验覆盖约0.05 s及更高时延</t>
        </is>
      </c>
      <c r="J6" s="18" t="inlineStr">
        <is>
          <t>https://ntrs.nasa.gov/citations/19860018620</t>
        </is>
      </c>
      <c r="K6" s="18" t="inlineStr">
        <is>
          <t>https://ntrs.nasa.gov/api/citations/19860018620/downloads/19860018620.pdf</t>
        </is>
      </c>
      <c r="L6" s="13" t="inlineStr">
        <is>
          <t>文中的等效时延不总等于纯运输延迟。</t>
        </is>
      </c>
    </row>
    <row r="7" ht="48" customHeight="1">
      <c r="A7" s="13" t="inlineStr">
        <is>
          <t>S06</t>
        </is>
      </c>
      <c r="B7" s="13" t="inlineStr">
        <is>
          <t>P1：实机飞行试验辨识</t>
        </is>
      </c>
      <c r="C7" s="13" t="inlineStr">
        <is>
          <t>Identification of Low Order Equivalent System Models From Flight Test Data</t>
        </is>
      </c>
      <c r="D7" s="13" t="n">
        <v>2000</v>
      </c>
      <c r="E7" s="13" t="inlineStr">
        <is>
          <t>NASA/TM-2000-210117</t>
        </is>
      </c>
      <c r="F7" s="13" t="inlineStr">
        <is>
          <t>F-18 HARV LOES辨识</t>
        </is>
      </c>
      <c r="G7" s="13" t="inlineStr">
        <is>
          <t>高迎角横航向LOES模态和输入时延</t>
        </is>
      </c>
      <c r="H7" s="13" t="inlineStr">
        <is>
          <t>Table 10, PDF p. 62</t>
        </is>
      </c>
      <c r="I7" s="13" t="inlineStr">
        <is>
          <t>T_s=11.5 s, T_R=1.80 s, omega_d=1.71 rad/s, zeta_d=0.72, lateral delay=0.0125 s</t>
        </is>
      </c>
      <c r="J7" s="18" t="inlineStr">
        <is>
          <t>https://ntrs.nasa.gov/citations/20000085030</t>
        </is>
      </c>
      <c r="K7" s="18" t="inlineStr">
        <is>
          <t>https://ntrs.nasa.gov/api/citations/20000085030/downloads/20000085030.pdf</t>
        </is>
      </c>
      <c r="L7" s="13" t="inlineStr">
        <is>
          <t>45 deg迎角的特殊飞行状态，不代表普通巡航。</t>
        </is>
      </c>
    </row>
    <row r="8" ht="48" customHeight="1">
      <c r="A8" s="13" t="inlineStr">
        <is>
          <t>S07</t>
        </is>
      </c>
      <c r="B8" s="13" t="inlineStr">
        <is>
          <t>P2：地面/在飞模拟构型数据</t>
        </is>
      </c>
      <c r="C8" s="13" t="inlineStr">
        <is>
          <t>Ground-based and in-flight simulator studies of low-speed handling characteristics of two supersonic cruise transport concepts</t>
        </is>
      </c>
      <c r="D8" s="13" t="n">
        <v>1978</v>
      </c>
      <c r="E8" s="13" t="inlineStr">
        <is>
          <t>NASA TP-1240</t>
        </is>
      </c>
      <c r="F8" s="13" t="inlineStr">
        <is>
          <t>运输机概念模拟与构型参数表</t>
        </is>
      </c>
      <c r="G8" s="13" t="inlineStr">
        <is>
          <t>T_R、螺旋、荷兰滚、分子零点比值及增稳构型变化</t>
        </is>
      </c>
      <c r="H8" s="13" t="inlineStr">
        <is>
          <t>Table V, PDF pp. 48-49</t>
        </is>
      </c>
      <c r="I8" s="13" t="inlineStr">
        <is>
          <t>8个构型的完整参数；R_omega满意0.80-1.15、可接受0.65-1.35</t>
        </is>
      </c>
      <c r="J8" s="18" t="inlineStr">
        <is>
          <t>https://ntrs.nasa.gov/citations/19780019168</t>
        </is>
      </c>
      <c r="K8" s="18" t="inlineStr">
        <is>
          <t>https://ntrs.nasa.gov/api/citations/19780019168/downloads/19780019168.pdf</t>
        </is>
      </c>
      <c r="L8" s="13" t="inlineStr">
        <is>
          <t>是概念机模拟构型，不是8架量产实机。</t>
        </is>
      </c>
    </row>
    <row r="9" ht="48" customHeight="1">
      <c r="A9" s="13" t="inlineStr">
        <is>
          <t>S08</t>
        </is>
      </c>
      <c r="B9" s="13" t="inlineStr">
        <is>
          <t>P2：系统化有人在环模拟</t>
        </is>
      </c>
      <c r="C9" s="13" t="inlineStr">
        <is>
          <t>Recent Research Directed Toward the Prediction of Lateral-Directional Handling Qualities</t>
        </is>
      </c>
      <c r="D9" s="13" t="n">
        <v>1966</v>
      </c>
      <c r="E9" s="13" t="inlineStr">
        <is>
          <t>AGARD Report 531</t>
        </is>
      </c>
      <c r="F9" s="13" t="inlineStr">
        <is>
          <t>固定基模拟参数扫描</t>
        </is>
      </c>
      <c r="G9" s="13" t="inlineStr">
        <is>
          <t>omega_phi/omega_d、阻尼关系和驾驶员评分</t>
        </is>
      </c>
      <c r="H9" s="13" t="inlineStr">
        <is>
          <t>Report 531 figures and parameter survey</t>
        </is>
      </c>
      <c r="I9" s="13" t="inlineStr">
        <is>
          <t>约1500个评分；广域R_omega压力扫描；最优区通常在R_omega约1附近</t>
        </is>
      </c>
      <c r="J9" s="18" t="inlineStr">
        <is>
          <t>https://ntrs.nasa.gov/citations/19670013913</t>
        </is>
      </c>
      <c r="K9" s="18" t="inlineStr">
        <is>
          <t>https://ntrs.nasa.gov/api/citations/19670013913/downloads/19670013913.pdf</t>
        </is>
      </c>
      <c r="L9" s="13" t="inlineStr">
        <is>
          <t>用于压力设计，不代表真实飞机概率。</t>
        </is>
      </c>
    </row>
    <row r="10" ht="48" customHeight="1">
      <c r="A10" s="13" t="inlineStr">
        <is>
          <t>S09</t>
        </is>
      </c>
      <c r="B10" s="13" t="inlineStr">
        <is>
          <t>P1：实机飞行试验辨识</t>
        </is>
      </c>
      <c r="C10" s="13" t="inlineStr">
        <is>
          <t>Frequency-Response Identification of XV-15 Tilt-Rotor Aircraft Dynamics</t>
        </is>
      </c>
      <c r="D10" s="13" t="n">
        <v>1987</v>
      </c>
      <c r="E10" s="13" t="inlineStr">
        <is>
          <t>NASA TM-89428</t>
        </is>
      </c>
      <c r="F10" s="13" t="inlineStr">
        <is>
          <t>XV-15巡航/飞机模式频域辨识</t>
        </is>
      </c>
      <c r="G10" s="13" t="inlineStr">
        <is>
          <t>p/aileron的完整零极点和时延</t>
        </is>
      </c>
      <c r="H10" s="13" t="inlineStr">
        <is>
          <t>PDF p. 133, transfer function</t>
        </is>
      </c>
      <c r="I10" s="13" t="inlineStr">
        <is>
          <t>T_s=15.87 s, T_R=0.917 s, zeta_d=0.248, omega_d=1.58, zeta_phi=0.313, omega_phi=1.89, tau=0.045 s</t>
        </is>
      </c>
      <c r="J10" s="18" t="inlineStr">
        <is>
          <t>https://ntrs.nasa.gov/citations/19870013257</t>
        </is>
      </c>
      <c r="K10" s="18" t="inlineStr">
        <is>
          <t>https://ntrs.nasa.gov/api/citations/19870013257/downloads/19870013257.pdf</t>
        </is>
      </c>
      <c r="L10" s="13" t="inlineStr">
        <is>
          <t>输入是副翼偏角，不是杆力；不可把-4.49直接当L_Fa。</t>
        </is>
      </c>
    </row>
    <row r="11" ht="48" customHeight="1">
      <c r="A11" s="13" t="inlineStr">
        <is>
          <t>S10</t>
        </is>
      </c>
      <c r="B11" s="13" t="inlineStr">
        <is>
          <t>P1：实机飞行试验</t>
        </is>
      </c>
      <c r="C11" s="13" t="inlineStr">
        <is>
          <t>Flight Test Data for a Cessna Cardinal</t>
        </is>
      </c>
      <c r="D11" s="13" t="n">
        <v>1974</v>
      </c>
      <c r="E11" s="13" t="inlineStr">
        <is>
          <t>NASA CR-2337</t>
        </is>
      </c>
      <c r="F11" s="13" t="inlineStr">
        <is>
          <t>Cessna 177B飞行试验</t>
        </is>
      </c>
      <c r="G11" s="13" t="inlineStr">
        <is>
          <t>轻型通航飞机荷兰滚和滚转响应</t>
        </is>
      </c>
      <c r="H11" s="13" t="inlineStr">
        <is>
          <t>Dutch Roll Characteristics, PDF p. 29</t>
        </is>
      </c>
      <c r="I11" s="13" t="inlineStr">
        <is>
          <t>80 mph: omega_d约1.60, zeta_d&gt;0.5；120 mph: omega_d约2.1, zeta_d&gt;0.4</t>
        </is>
      </c>
      <c r="J11" s="18" t="inlineStr">
        <is>
          <t>https://ntrs.nasa.gov/citations/19740006639</t>
        </is>
      </c>
      <c r="K11" s="18" t="inlineStr">
        <is>
          <t>https://ntrs.nasa.gov/api/citations/19740006639/downloads/19740006639.pdf</t>
        </is>
      </c>
      <c r="L11" s="13" t="inlineStr">
        <is>
          <t>高阻尼导致阻尼比难以精确辨识，原文给下界。</t>
        </is>
      </c>
    </row>
    <row r="12" ht="48" customHeight="1">
      <c r="A12" s="13" t="inlineStr">
        <is>
          <t>S11</t>
        </is>
      </c>
      <c r="B12" s="13" t="inlineStr">
        <is>
          <t>P2：UAS模型/缩比分析</t>
        </is>
      </c>
      <c r="C12" s="13" t="inlineStr">
        <is>
          <t>Defining Handling Qualities of Unmanned Aerial Systems: Phase II Final Report</t>
        </is>
      </c>
      <c r="D12" s="13" t="n">
        <v>2020</v>
      </c>
      <c r="E12" s="13" t="inlineStr">
        <is>
          <t>NASA/CR-2020-220564</t>
        </is>
      </c>
      <c r="F12" s="13" t="inlineStr">
        <is>
          <t>UltraStick与Cessna模型分析</t>
        </is>
      </c>
      <c r="G12" s="13" t="inlineStr">
        <is>
          <t>小型固定翼UAS的T_R、螺旋和荷兰滚</t>
        </is>
      </c>
      <c r="H12" s="13" t="inlineStr">
        <is>
          <t>Tables 78, 79, 81, 82; PDF pp. 270, 273-274</t>
        </is>
      </c>
      <c r="I12" s="13" t="inlineStr">
        <is>
          <t>T_R=0.063-0.232 s；omega_d可到5.59/7.85 rad/s；Cessna 172对照</t>
        </is>
      </c>
      <c r="J12" s="18" t="inlineStr">
        <is>
          <t>https://ntrs.nasa.gov/citations/20200002019</t>
        </is>
      </c>
      <c r="K12" s="18" t="inlineStr">
        <is>
          <t>https://ntrs.nasa.gov/api/citations/20200002019/downloads/20200002019.pdf</t>
        </is>
      </c>
      <c r="L12" s="13" t="inlineStr">
        <is>
          <t>UAS通常没有F_as物理杆力；只可用于模态范围，不可直接用于L_Fa。</t>
        </is>
      </c>
    </row>
    <row r="13" ht="48" customHeight="1">
      <c r="A13" s="13" t="inlineStr">
        <is>
          <t>S12</t>
        </is>
      </c>
      <c r="B13" s="13" t="inlineStr">
        <is>
          <t>P1：实机飞行试验</t>
        </is>
      </c>
      <c r="C13" s="13" t="inlineStr">
        <is>
          <t>Flight Test Results for the F-16XL With a Digital Flight Control System</t>
        </is>
      </c>
      <c r="D13" s="13" t="n">
        <v>2004</v>
      </c>
      <c r="E13" s="13" t="inlineStr">
        <is>
          <t>NASA/TP-2004-212046</t>
        </is>
      </c>
      <c r="F13" s="13" t="inlineStr">
        <is>
          <t>F-16XL飞行试验</t>
        </is>
      </c>
      <c r="G13" s="13" t="inlineStr">
        <is>
          <t>T_R、有效时延、最大滚转率和飞行状态依赖</t>
        </is>
      </c>
      <c r="H13" s="13" t="inlineStr">
        <is>
          <t>Roll Performance, PDF pp. 15-19</t>
        </is>
      </c>
      <c r="I13" s="13" t="inlineStr">
        <is>
          <t>T_R=0.21-0.61 s；有效时延约0.15 s；全杆滚转数据</t>
        </is>
      </c>
      <c r="J13" s="18" t="inlineStr">
        <is>
          <t>https://ntrs.nasa.gov/citations/20040040334</t>
        </is>
      </c>
      <c r="K13" s="18" t="inlineStr">
        <is>
          <t>https://ntrs.nasa.gov/api/citations/20040040334/downloads/20040040334.pdf</t>
        </is>
      </c>
      <c r="L13" s="13" t="inlineStr">
        <is>
          <t>有效时延由时域切线法得到，不等同于单一硬件运输延迟。</t>
        </is>
      </c>
    </row>
    <row r="14" ht="48" customHeight="1">
      <c r="A14" s="13" t="inlineStr">
        <is>
          <t>S13</t>
        </is>
      </c>
      <c r="B14" s="13" t="inlineStr">
        <is>
          <t>P2：高迎角战斗机构型模拟</t>
        </is>
      </c>
      <c r="C14" s="13" t="inlineStr">
        <is>
          <t>Simulator Study of Stall/Post-Stall Characteristics of a Fighter Airplane With Relaxed Longitudinal Static Stability</t>
        </is>
      </c>
      <c r="D14" s="13" t="n">
        <v>1979</v>
      </c>
      <c r="E14" s="13" t="inlineStr">
        <is>
          <t>NASA TP-1538</t>
        </is>
      </c>
      <c r="F14" s="13" t="inlineStr">
        <is>
          <t>F-16基础构型模拟</t>
        </is>
      </c>
      <c r="G14" s="13" t="inlineStr">
        <is>
          <t>力感侧杆的滚转率指令上限与高迎角限幅</t>
        </is>
      </c>
      <c r="H14" s="13" t="inlineStr">
        <is>
          <t>PDF pp. 25-26, 40, Figure 64</t>
        </is>
      </c>
      <c r="I14" s="13" t="inlineStr">
        <is>
          <t>正常最大可指令滚转率308 deg/s；高迎角可降至约90/165 deg/s</t>
        </is>
      </c>
      <c r="J14" s="18" t="inlineStr">
        <is>
          <t>https://ntrs.nasa.gov/citations/19800005879</t>
        </is>
      </c>
      <c r="K14" s="18" t="inlineStr">
        <is>
          <t>https://ntrs.nasa.gov/api/citations/19800005879/downloads/19800005879.pdf</t>
        </is>
      </c>
      <c r="L14" s="13" t="inlineStr">
        <is>
          <t>用于p_c上限的战斗机例证，不是跨机型通用命令范围。</t>
        </is>
      </c>
    </row>
    <row r="15" ht="48" customHeight="1">
      <c r="A15" s="13" t="inlineStr">
        <is>
          <t>S14</t>
        </is>
      </c>
      <c r="B15" s="13" t="inlineStr">
        <is>
          <t>P1：实机飞行试验/控制律说明</t>
        </is>
      </c>
      <c r="C15" s="13" t="inlineStr">
        <is>
          <t>Biomechanically Induced and Controller Coupled Oscillations Experienced on the F-16XL Aircraft During Rolling Maneuvers</t>
        </is>
      </c>
      <c r="D15" s="13" t="n">
        <v>1996</v>
      </c>
      <c r="E15" s="13" t="inlineStr">
        <is>
          <t>NASA TM-4752</t>
        </is>
      </c>
      <c r="F15" s="13" t="inlineStr">
        <is>
          <t>F-16XL滚转飞行试验</t>
        </is>
      </c>
      <c r="G15" s="13" t="inlineStr">
        <is>
          <t>侧杆力到滚转率指令映射、breakout和滚转棘振</t>
        </is>
      </c>
      <c r="H15" s="13" t="inlineStr">
        <is>
          <t>Control system description</t>
        </is>
      </c>
      <c r="I15" s="13" t="inlineStr">
        <is>
          <t>最大滚转率指令300 deg/s；约9 lbf后达到最大，breakout约1 lbf</t>
        </is>
      </c>
      <c r="J15" s="18" t="inlineStr">
        <is>
          <t>https://ntrs.nasa.gov/citations/19960047507</t>
        </is>
      </c>
      <c r="K15" s="18" t="inlineStr">
        <is>
          <t>https://ntrs.nasa.gov/api/citations/19960047507/downloads/19960047507.pdf</t>
        </is>
      </c>
      <c r="L15" s="13" t="inlineStr">
        <is>
          <t>控制律命令梯度不是开环p/F_as稳态增益。</t>
        </is>
      </c>
    </row>
    <row r="16" ht="48" customHeight="1">
      <c r="A16" s="13" t="inlineStr">
        <is>
          <t>S15</t>
        </is>
      </c>
      <c r="B16" s="13" t="inlineStr">
        <is>
          <t>项目内部审计</t>
        </is>
      </c>
      <c r="C16" s="13" t="inlineStr">
        <is>
          <t>虚拟飞机参数来源与含义审计</t>
        </is>
      </c>
      <c r="D16" s="13" t="n">
        <v>2026</v>
      </c>
      <c r="E16" s="13" t="inlineStr">
        <is>
          <t>pingmo internal audit</t>
        </is>
      </c>
      <c r="F16" s="13" t="inlineStr">
        <is>
          <t>现有合成机队审计</t>
        </is>
      </c>
      <c r="G16" s="13" t="inlineStr">
        <is>
          <t>当前网格、符号、派生量和标准映射</t>
        </is>
      </c>
      <c r="H16" s="13" t="inlineStr">
        <is>
          <t>../../docs/虚拟飞机参数来源审计.md</t>
        </is>
      </c>
      <c r="I16" s="13" t="inlineStr">
        <is>
          <t>说明当前L是归一化量而非物理L_Fa；给出当前锚点和T_s符号约定</t>
        </is>
      </c>
      <c r="J16" s="13" t="inlineStr"/>
      <c r="K16" s="13" t="inlineStr"/>
      <c r="L16" s="13" t="inlineStr">
        <is>
          <t>不是外部物理证据，仅用于迁移建议。</t>
        </is>
      </c>
    </row>
  </sheetData>
  <autoFilter ref="A1:L1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J6" r:id="rId6"/>
    <hyperlink xmlns:r="http://schemas.openxmlformats.org/officeDocument/2006/relationships" ref="K6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J8" r:id="rId10"/>
    <hyperlink xmlns:r="http://schemas.openxmlformats.org/officeDocument/2006/relationships" ref="K8" r:id="rId11"/>
    <hyperlink xmlns:r="http://schemas.openxmlformats.org/officeDocument/2006/relationships" ref="J9" r:id="rId12"/>
    <hyperlink xmlns:r="http://schemas.openxmlformats.org/officeDocument/2006/relationships" ref="K9" r:id="rId13"/>
    <hyperlink xmlns:r="http://schemas.openxmlformats.org/officeDocument/2006/relationships" ref="J10" r:id="rId14"/>
    <hyperlink xmlns:r="http://schemas.openxmlformats.org/officeDocument/2006/relationships" ref="K10" r:id="rId15"/>
    <hyperlink xmlns:r="http://schemas.openxmlformats.org/officeDocument/2006/relationships" ref="J11" r:id="rId16"/>
    <hyperlink xmlns:r="http://schemas.openxmlformats.org/officeDocument/2006/relationships" ref="K11" r:id="rId17"/>
    <hyperlink xmlns:r="http://schemas.openxmlformats.org/officeDocument/2006/relationships" ref="J12" r:id="rId18"/>
    <hyperlink xmlns:r="http://schemas.openxmlformats.org/officeDocument/2006/relationships" ref="K12" r:id="rId19"/>
    <hyperlink xmlns:r="http://schemas.openxmlformats.org/officeDocument/2006/relationships" ref="J13" r:id="rId20"/>
    <hyperlink xmlns:r="http://schemas.openxmlformats.org/officeDocument/2006/relationships" ref="K13" r:id="rId21"/>
    <hyperlink xmlns:r="http://schemas.openxmlformats.org/officeDocument/2006/relationships" ref="J14" r:id="rId22"/>
    <hyperlink xmlns:r="http://schemas.openxmlformats.org/officeDocument/2006/relationships" ref="K14" r:id="rId23"/>
    <hyperlink xmlns:r="http://schemas.openxmlformats.org/officeDocument/2006/relationships" ref="J15" r:id="rId24"/>
    <hyperlink xmlns:r="http://schemas.openxmlformats.org/officeDocument/2006/relationships" ref="K15" r:id="rId25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research package builder</dc:creator>
  <dc:title xmlns:dc="http://purl.org/dc/elements/1.1/">p/F_as低阶等效模型物理范围证据与采样建议</dc:title>
  <dc:description xmlns:dc="http://purl.org/dc/elements/1.1/">Evidence-backed research envelope; not an aircraft population probability model.</dc:description>
  <dc:subject xmlns:dc="http://purl.org/dc/elements/1.1/">8参数、辅助量、GJB/MIL品质边界、实机/模拟证据与联合采样规则</dc:subject>
  <dcterms:created xmlns:dcterms="http://purl.org/dc/terms/" xmlns:xsi="http://www.w3.org/2001/XMLSchema-instance" xsi:type="dcterms:W3CDTF">2026-08-26T18:05:58Z</dcterms:created>
  <dcterms:modified xmlns:dcterms="http://purl.org/dc/terms/" xmlns:xsi="http://www.w3.org/2001/XMLSchema-instance" xsi:type="dcterms:W3CDTF">2026-08-26T18:05:58Z</dcterms:modified>
</cp:coreProperties>
</file>